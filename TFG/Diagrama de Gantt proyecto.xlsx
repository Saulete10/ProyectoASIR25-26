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20" yWindow="-120" windowWidth="28896" windowHeight="14352" tabRatio="415"/>
  </bookViews>
  <sheets>
    <sheet name="Gantt" sheetId="11" r:id="rId1"/>
    <sheet name="Información" sheetId="12" r:id="rId2"/>
  </sheets>
  <definedNames>
    <definedName name="Hoy" localSheetId="0">TODAY()</definedName>
    <definedName name="Incremento_de_desplazamiento">Gantt!$E$4</definedName>
    <definedName name="Inicio_del_proyecto">Gantt!$E$3</definedName>
    <definedName name="_xlnm.Print_Titles" localSheetId="0">Gantt!$4:$7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0" i="11" l="1"/>
  <c r="BL40" i="11" s="1"/>
  <c r="E37" i="11"/>
  <c r="BL37" i="11" s="1"/>
  <c r="BL41" i="11"/>
  <c r="BL47" i="11"/>
  <c r="BL53" i="11"/>
  <c r="BL55" i="11"/>
  <c r="BL56" i="11"/>
  <c r="BL57" i="11"/>
  <c r="BL58" i="11"/>
  <c r="BL35" i="11"/>
  <c r="E38" i="11" l="1"/>
  <c r="BL38" i="11" s="1"/>
  <c r="F52" i="11"/>
  <c r="BL52" i="11" s="1"/>
  <c r="F48" i="11"/>
  <c r="E42" i="11"/>
  <c r="E43" i="11" s="1"/>
  <c r="BL36" i="11"/>
  <c r="E39" i="11"/>
  <c r="BL39" i="11" s="1"/>
  <c r="BL42" i="11" l="1"/>
  <c r="BL48" i="11"/>
  <c r="F49" i="11"/>
  <c r="E44" i="11"/>
  <c r="BL43" i="11"/>
  <c r="BL49" i="11" l="1"/>
  <c r="F50" i="11"/>
  <c r="BL50" i="11" s="1"/>
  <c r="BL44" i="11"/>
  <c r="E45" i="11"/>
  <c r="F51" i="11" l="1"/>
  <c r="BL45" i="11"/>
  <c r="E46" i="11"/>
  <c r="BL46" i="11" s="1"/>
  <c r="BL51" i="11" l="1"/>
  <c r="F54" i="11"/>
  <c r="BL54" i="11" s="1"/>
  <c r="E13" i="11" l="1"/>
  <c r="E26" i="11" l="1"/>
  <c r="E27" i="11" l="1"/>
  <c r="E28" i="11" l="1"/>
  <c r="E29" i="11" s="1"/>
  <c r="E30" i="11" s="1"/>
  <c r="E31" i="11" s="1"/>
  <c r="E32" i="11" s="1"/>
  <c r="E33" i="11" s="1"/>
  <c r="E34" i="11" s="1"/>
  <c r="H5" i="11" l="1"/>
  <c r="H41" i="11" l="1"/>
  <c r="H47" i="11"/>
  <c r="H51" i="11"/>
  <c r="H55" i="11"/>
  <c r="H48" i="11"/>
  <c r="H49" i="11"/>
  <c r="H52" i="11"/>
  <c r="H56" i="11"/>
  <c r="H57" i="11"/>
  <c r="H50" i="11"/>
  <c r="H58" i="11"/>
  <c r="H54" i="11"/>
  <c r="H53" i="11"/>
  <c r="H35" i="11"/>
  <c r="H34" i="11"/>
  <c r="H33" i="11"/>
  <c r="H32" i="11"/>
  <c r="H31" i="11"/>
  <c r="H17" i="11"/>
  <c r="H18" i="11"/>
  <c r="H20" i="11"/>
  <c r="H23" i="11"/>
  <c r="H19" i="11"/>
  <c r="H21" i="11"/>
  <c r="H22" i="11"/>
  <c r="H24" i="11"/>
  <c r="H16" i="11"/>
  <c r="H15" i="11"/>
  <c r="H9" i="11"/>
  <c r="H14" i="11"/>
  <c r="H28" i="11"/>
  <c r="H27" i="11"/>
  <c r="H26" i="11"/>
  <c r="H25" i="11"/>
  <c r="I5" i="11"/>
  <c r="H7" i="11"/>
  <c r="H30" i="11"/>
  <c r="H4" i="11"/>
  <c r="H12" i="11"/>
  <c r="H29" i="11"/>
  <c r="H10" i="11"/>
  <c r="H11" i="11"/>
  <c r="H13" i="11"/>
  <c r="I36" i="11" l="1"/>
  <c r="I35" i="11"/>
  <c r="I37" i="11"/>
  <c r="I42" i="11"/>
  <c r="I41" i="11"/>
  <c r="I52" i="11"/>
  <c r="I40" i="11"/>
  <c r="I45" i="11"/>
  <c r="I39" i="11"/>
  <c r="I44" i="11"/>
  <c r="I46" i="11"/>
  <c r="I56" i="11"/>
  <c r="I47" i="11"/>
  <c r="I51" i="11"/>
  <c r="I48" i="11"/>
  <c r="I49" i="11"/>
  <c r="I38" i="11"/>
  <c r="I43" i="11"/>
  <c r="I57" i="11"/>
  <c r="I50" i="11"/>
  <c r="I58" i="11"/>
  <c r="I55" i="11"/>
  <c r="I54" i="11"/>
  <c r="I53" i="11"/>
  <c r="I34" i="11"/>
  <c r="I33" i="11"/>
  <c r="I32" i="11"/>
  <c r="I31" i="11"/>
  <c r="I17" i="11"/>
  <c r="I23" i="11"/>
  <c r="I20" i="11"/>
  <c r="I24" i="11"/>
  <c r="I18" i="11"/>
  <c r="I22" i="11"/>
  <c r="I19" i="11"/>
  <c r="I21" i="11"/>
  <c r="I16" i="11"/>
  <c r="I15" i="11"/>
  <c r="I14" i="11"/>
  <c r="I25" i="11"/>
  <c r="J5" i="11"/>
  <c r="I11" i="11"/>
  <c r="I28" i="11"/>
  <c r="I10" i="11"/>
  <c r="I7" i="11"/>
  <c r="I29" i="11"/>
  <c r="I12" i="11"/>
  <c r="I30" i="11"/>
  <c r="I26" i="11"/>
  <c r="I13" i="11"/>
  <c r="I9" i="11"/>
  <c r="I27" i="11"/>
  <c r="J43" i="11" l="1"/>
  <c r="J37" i="11"/>
  <c r="J42" i="11"/>
  <c r="J36" i="11"/>
  <c r="J41" i="11"/>
  <c r="J40" i="11"/>
  <c r="J45" i="11"/>
  <c r="J39" i="11"/>
  <c r="J46" i="11"/>
  <c r="J53" i="11"/>
  <c r="J56" i="11"/>
  <c r="J44" i="11"/>
  <c r="J47" i="11"/>
  <c r="J51" i="11"/>
  <c r="J55" i="11"/>
  <c r="J48" i="11"/>
  <c r="J49" i="11"/>
  <c r="J50" i="11"/>
  <c r="J52" i="11"/>
  <c r="J38" i="11"/>
  <c r="J57" i="11"/>
  <c r="J58" i="11"/>
  <c r="J54" i="11"/>
  <c r="J35" i="11"/>
  <c r="J31" i="11"/>
  <c r="J34" i="11"/>
  <c r="J33" i="11"/>
  <c r="J32" i="11"/>
  <c r="J17" i="11"/>
  <c r="J18" i="11"/>
  <c r="J21" i="11"/>
  <c r="J24" i="11"/>
  <c r="J20" i="11"/>
  <c r="J23" i="11"/>
  <c r="J22" i="11"/>
  <c r="J19" i="11"/>
  <c r="J15" i="11"/>
  <c r="J16" i="11"/>
  <c r="J25" i="11"/>
  <c r="J14" i="11"/>
  <c r="J26" i="11"/>
  <c r="J13" i="11"/>
  <c r="J7" i="11"/>
  <c r="J12" i="11"/>
  <c r="J9" i="11"/>
  <c r="J30" i="11"/>
  <c r="J10" i="11"/>
  <c r="J11" i="11"/>
  <c r="J28" i="11"/>
  <c r="J29" i="11"/>
  <c r="K5" i="11"/>
  <c r="J27" i="11"/>
  <c r="K38" i="11" l="1"/>
  <c r="K37" i="11"/>
  <c r="K42" i="11"/>
  <c r="K36" i="11"/>
  <c r="K47" i="11"/>
  <c r="K46" i="11"/>
  <c r="K40" i="11"/>
  <c r="K45" i="11"/>
  <c r="K53" i="11"/>
  <c r="K56" i="11"/>
  <c r="K44" i="11"/>
  <c r="K51" i="11"/>
  <c r="K39" i="11"/>
  <c r="K41" i="11"/>
  <c r="K54" i="11"/>
  <c r="K52" i="11"/>
  <c r="K48" i="11"/>
  <c r="K49" i="11"/>
  <c r="K43" i="11"/>
  <c r="K57" i="11"/>
  <c r="K50" i="11"/>
  <c r="K58" i="11"/>
  <c r="K55" i="11"/>
  <c r="K35" i="11"/>
  <c r="K31" i="11"/>
  <c r="K34" i="11"/>
  <c r="K33" i="11"/>
  <c r="K32" i="11"/>
  <c r="K17" i="11"/>
  <c r="K18" i="11"/>
  <c r="K21" i="11"/>
  <c r="K24" i="11"/>
  <c r="K22" i="11"/>
  <c r="K23" i="11"/>
  <c r="K19" i="11"/>
  <c r="K20" i="11"/>
  <c r="K15" i="11"/>
  <c r="K16" i="11"/>
  <c r="K27" i="11"/>
  <c r="K14" i="11"/>
  <c r="K10" i="11"/>
  <c r="K26" i="11"/>
  <c r="K9" i="11"/>
  <c r="K11" i="11"/>
  <c r="K13" i="11"/>
  <c r="K25" i="11"/>
  <c r="K7" i="11"/>
  <c r="K12" i="11"/>
  <c r="K28" i="11"/>
  <c r="K29" i="11"/>
  <c r="K30" i="11"/>
  <c r="L5" i="11"/>
  <c r="L44" i="11" l="1"/>
  <c r="L38" i="11"/>
  <c r="L43" i="11"/>
  <c r="L37" i="11"/>
  <c r="L42" i="11"/>
  <c r="L53" i="11"/>
  <c r="L36" i="11"/>
  <c r="L46" i="11"/>
  <c r="L40" i="11"/>
  <c r="L50" i="11"/>
  <c r="L57" i="11"/>
  <c r="L45" i="11"/>
  <c r="L47" i="11"/>
  <c r="L51" i="11"/>
  <c r="L52" i="11"/>
  <c r="L54" i="11"/>
  <c r="L41" i="11"/>
  <c r="L48" i="11"/>
  <c r="L49" i="11"/>
  <c r="L56" i="11"/>
  <c r="L39" i="11"/>
  <c r="L58" i="11"/>
  <c r="L55" i="11"/>
  <c r="L35" i="11"/>
  <c r="L31" i="11"/>
  <c r="L34" i="11"/>
  <c r="L33" i="11"/>
  <c r="L32" i="11"/>
  <c r="L19" i="11"/>
  <c r="L18" i="11"/>
  <c r="L21" i="11"/>
  <c r="L24" i="11"/>
  <c r="L20" i="11"/>
  <c r="L23" i="11"/>
  <c r="L22" i="11"/>
  <c r="L12" i="11"/>
  <c r="L17" i="11"/>
  <c r="L15" i="11"/>
  <c r="L16" i="11"/>
  <c r="L30" i="11"/>
  <c r="L14" i="11"/>
  <c r="L27" i="11"/>
  <c r="L7" i="11"/>
  <c r="L13" i="11"/>
  <c r="M5" i="11"/>
  <c r="L25" i="11"/>
  <c r="L26" i="11"/>
  <c r="L28" i="11"/>
  <c r="L29" i="11"/>
  <c r="L9" i="11"/>
  <c r="L11" i="11"/>
  <c r="L10" i="11"/>
  <c r="M39" i="11" l="1"/>
  <c r="M38" i="11"/>
  <c r="M37" i="11"/>
  <c r="M48" i="11"/>
  <c r="M36" i="11"/>
  <c r="M41" i="11"/>
  <c r="M46" i="11"/>
  <c r="M50" i="11"/>
  <c r="M45" i="11"/>
  <c r="M53" i="11"/>
  <c r="M44" i="11"/>
  <c r="M47" i="11"/>
  <c r="M56" i="11"/>
  <c r="M42" i="11"/>
  <c r="M51" i="11"/>
  <c r="M43" i="11"/>
  <c r="M49" i="11"/>
  <c r="M55" i="11"/>
  <c r="M54" i="11"/>
  <c r="M52" i="11"/>
  <c r="M57" i="11"/>
  <c r="M40" i="11"/>
  <c r="M58" i="11"/>
  <c r="M35" i="11"/>
  <c r="M32" i="11"/>
  <c r="M31" i="11"/>
  <c r="M34" i="11"/>
  <c r="M33" i="11"/>
  <c r="M17" i="11"/>
  <c r="M24" i="11"/>
  <c r="M21" i="11"/>
  <c r="M18" i="11"/>
  <c r="M20" i="11"/>
  <c r="M19" i="11"/>
  <c r="M22" i="11"/>
  <c r="M23" i="11"/>
  <c r="M15" i="11"/>
  <c r="M16" i="11"/>
  <c r="M10" i="11"/>
  <c r="M14" i="11"/>
  <c r="M25" i="11"/>
  <c r="M27" i="11"/>
  <c r="M11" i="11"/>
  <c r="M30" i="11"/>
  <c r="M9" i="11"/>
  <c r="N5" i="11"/>
  <c r="M13" i="11"/>
  <c r="M26" i="11"/>
  <c r="M7" i="11"/>
  <c r="M28" i="11"/>
  <c r="M12" i="11"/>
  <c r="M29" i="11"/>
  <c r="N45" i="11" l="1"/>
  <c r="N39" i="11"/>
  <c r="N38" i="11"/>
  <c r="N43" i="11"/>
  <c r="N37" i="11"/>
  <c r="N36" i="11"/>
  <c r="N47" i="11"/>
  <c r="N41" i="11"/>
  <c r="N46" i="11"/>
  <c r="N50" i="11"/>
  <c r="N57" i="11"/>
  <c r="N53" i="11"/>
  <c r="N44" i="11"/>
  <c r="N42" i="11"/>
  <c r="N51" i="11"/>
  <c r="N48" i="11"/>
  <c r="N40" i="11"/>
  <c r="N58" i="11"/>
  <c r="N55" i="11"/>
  <c r="N54" i="11"/>
  <c r="N56" i="11"/>
  <c r="N52" i="11"/>
  <c r="N49" i="11"/>
  <c r="N35" i="11"/>
  <c r="N32" i="11"/>
  <c r="N31" i="11"/>
  <c r="N34" i="11"/>
  <c r="N33" i="11"/>
  <c r="N17" i="11"/>
  <c r="N19" i="11"/>
  <c r="N22" i="11"/>
  <c r="N18" i="11"/>
  <c r="N23" i="11"/>
  <c r="N24" i="11"/>
  <c r="N20" i="11"/>
  <c r="N21" i="11"/>
  <c r="N16" i="11"/>
  <c r="N15" i="11"/>
  <c r="N14" i="11"/>
  <c r="N29" i="11"/>
  <c r="N26" i="11"/>
  <c r="N12" i="11"/>
  <c r="N10" i="11"/>
  <c r="N28" i="11"/>
  <c r="N13" i="11"/>
  <c r="N25" i="11"/>
  <c r="O5" i="11"/>
  <c r="N27" i="11"/>
  <c r="N9" i="11"/>
  <c r="N11" i="11"/>
  <c r="N7" i="11"/>
  <c r="N30" i="11"/>
  <c r="O40" i="11" l="1"/>
  <c r="O39" i="11"/>
  <c r="O38" i="11"/>
  <c r="O49" i="11"/>
  <c r="O37" i="11"/>
  <c r="O42" i="11"/>
  <c r="O36" i="11"/>
  <c r="O47" i="11"/>
  <c r="O41" i="11"/>
  <c r="O52" i="11"/>
  <c r="O54" i="11"/>
  <c r="O58" i="11"/>
  <c r="O46" i="11"/>
  <c r="O50" i="11"/>
  <c r="O45" i="11"/>
  <c r="O53" i="11"/>
  <c r="O44" i="11"/>
  <c r="O55" i="11"/>
  <c r="O56" i="11"/>
  <c r="O48" i="11"/>
  <c r="O43" i="11"/>
  <c r="O57" i="11"/>
  <c r="O51" i="11"/>
  <c r="O35" i="11"/>
  <c r="O32" i="11"/>
  <c r="O31" i="11"/>
  <c r="O34" i="11"/>
  <c r="O33" i="11"/>
  <c r="O17" i="11"/>
  <c r="O19" i="11"/>
  <c r="O22" i="11"/>
  <c r="O18" i="11"/>
  <c r="O23" i="11"/>
  <c r="O24" i="11"/>
  <c r="O20" i="11"/>
  <c r="O21" i="11"/>
  <c r="O16" i="11"/>
  <c r="O15" i="11"/>
  <c r="O7" i="11"/>
  <c r="O14" i="11"/>
  <c r="O27" i="11"/>
  <c r="O13" i="11"/>
  <c r="O4" i="11"/>
  <c r="O10" i="11"/>
  <c r="O11" i="11"/>
  <c r="O29" i="11"/>
  <c r="O28" i="11"/>
  <c r="O26" i="11"/>
  <c r="P5" i="11"/>
  <c r="O9" i="11"/>
  <c r="O30" i="11"/>
  <c r="O25" i="11"/>
  <c r="O12" i="11"/>
  <c r="P40" i="11" l="1"/>
  <c r="P39" i="11"/>
  <c r="P44" i="11"/>
  <c r="P38" i="11"/>
  <c r="P37" i="11"/>
  <c r="P48" i="11"/>
  <c r="P42" i="11"/>
  <c r="P36" i="11"/>
  <c r="P47" i="11"/>
  <c r="P41" i="11"/>
  <c r="P43" i="11"/>
  <c r="P49" i="11"/>
  <c r="P54" i="11"/>
  <c r="P52" i="11"/>
  <c r="P46" i="11"/>
  <c r="P50" i="11"/>
  <c r="P45" i="11"/>
  <c r="P53" i="11"/>
  <c r="P58" i="11"/>
  <c r="P55" i="11"/>
  <c r="P56" i="11"/>
  <c r="P57" i="11"/>
  <c r="P51" i="11"/>
  <c r="P35" i="11"/>
  <c r="P33" i="11"/>
  <c r="P32" i="11"/>
  <c r="P34" i="11"/>
  <c r="P31" i="11"/>
  <c r="P17" i="11"/>
  <c r="P19" i="11"/>
  <c r="P22" i="11"/>
  <c r="P18" i="11"/>
  <c r="P23" i="11"/>
  <c r="P24" i="11"/>
  <c r="P20" i="11"/>
  <c r="P21" i="11"/>
  <c r="P16" i="11"/>
  <c r="P15" i="11"/>
  <c r="P26" i="11"/>
  <c r="P14" i="11"/>
  <c r="P12" i="11"/>
  <c r="P11" i="11"/>
  <c r="P13" i="11"/>
  <c r="P25" i="11"/>
  <c r="P10" i="11"/>
  <c r="P30" i="11"/>
  <c r="P29" i="11"/>
  <c r="P9" i="11"/>
  <c r="P7" i="11"/>
  <c r="P27" i="11"/>
  <c r="Q5" i="11"/>
  <c r="P28" i="11"/>
  <c r="Q40" i="11" l="1"/>
  <c r="Q39" i="11"/>
  <c r="Q50" i="11"/>
  <c r="Q38" i="11"/>
  <c r="Q43" i="11"/>
  <c r="Q37" i="11"/>
  <c r="Q42" i="11"/>
  <c r="Q48" i="11"/>
  <c r="Q36" i="11"/>
  <c r="Q41" i="11"/>
  <c r="Q49" i="11"/>
  <c r="Q52" i="11"/>
  <c r="Q54" i="11"/>
  <c r="Q46" i="11"/>
  <c r="Q45" i="11"/>
  <c r="Q47" i="11"/>
  <c r="Q53" i="11"/>
  <c r="Q51" i="11"/>
  <c r="Q44" i="11"/>
  <c r="Q58" i="11"/>
  <c r="Q55" i="11"/>
  <c r="Q56" i="11"/>
  <c r="Q57" i="11"/>
  <c r="Q35" i="11"/>
  <c r="Q33" i="11"/>
  <c r="Q32" i="11"/>
  <c r="Q31" i="11"/>
  <c r="Q34" i="11"/>
  <c r="Q17" i="11"/>
  <c r="Q19" i="11"/>
  <c r="Q22" i="11"/>
  <c r="Q18" i="11"/>
  <c r="Q23" i="11"/>
  <c r="Q24" i="11"/>
  <c r="Q20" i="11"/>
  <c r="Q21" i="11"/>
  <c r="Q16" i="11"/>
  <c r="Q15" i="11"/>
  <c r="Q26" i="11"/>
  <c r="Q14" i="11"/>
  <c r="Q30" i="11"/>
  <c r="Q25" i="11"/>
  <c r="Q10" i="11"/>
  <c r="Q13" i="11"/>
  <c r="Q29" i="11"/>
  <c r="Q11" i="11"/>
  <c r="Q7" i="11"/>
  <c r="Q12" i="11"/>
  <c r="Q28" i="11"/>
  <c r="R5" i="11"/>
  <c r="Q9" i="11"/>
  <c r="Q27" i="11"/>
  <c r="R41" i="11" l="1"/>
  <c r="R40" i="11"/>
  <c r="R45" i="11"/>
  <c r="R39" i="11"/>
  <c r="R38" i="11"/>
  <c r="R49" i="11"/>
  <c r="R43" i="11"/>
  <c r="R37" i="11"/>
  <c r="R48" i="11"/>
  <c r="R55" i="11"/>
  <c r="R36" i="11"/>
  <c r="R52" i="11"/>
  <c r="R50" i="11"/>
  <c r="R46" i="11"/>
  <c r="R47" i="11"/>
  <c r="R51" i="11"/>
  <c r="R53" i="11"/>
  <c r="R44" i="11"/>
  <c r="R58" i="11"/>
  <c r="R54" i="11"/>
  <c r="R56" i="11"/>
  <c r="R42" i="11"/>
  <c r="R57" i="11"/>
  <c r="R35" i="11"/>
  <c r="R33" i="11"/>
  <c r="R31" i="11"/>
  <c r="R34" i="11"/>
  <c r="R32" i="11"/>
  <c r="R17" i="11"/>
  <c r="R20" i="11"/>
  <c r="R23" i="11"/>
  <c r="R19" i="11"/>
  <c r="R21" i="11"/>
  <c r="R22" i="11"/>
  <c r="R18" i="11"/>
  <c r="R24" i="11"/>
  <c r="R16" i="11"/>
  <c r="R15" i="11"/>
  <c r="R7" i="11"/>
  <c r="R14" i="11"/>
  <c r="R13" i="11"/>
  <c r="R11" i="11"/>
  <c r="R30" i="11"/>
  <c r="R25" i="11"/>
  <c r="R29" i="11"/>
  <c r="S5" i="11"/>
  <c r="R12" i="11"/>
  <c r="R10" i="11"/>
  <c r="R27" i="11"/>
  <c r="R26" i="11"/>
  <c r="R9" i="11"/>
  <c r="R28" i="11"/>
  <c r="S36" i="11" l="1"/>
  <c r="S41" i="11"/>
  <c r="S40" i="11"/>
  <c r="S51" i="11"/>
  <c r="S39" i="11"/>
  <c r="S44" i="11"/>
  <c r="S38" i="11"/>
  <c r="S43" i="11"/>
  <c r="S55" i="11"/>
  <c r="S48" i="11"/>
  <c r="S49" i="11"/>
  <c r="S52" i="11"/>
  <c r="S54" i="11"/>
  <c r="S50" i="11"/>
  <c r="S45" i="11"/>
  <c r="S46" i="11"/>
  <c r="S57" i="11"/>
  <c r="S37" i="11"/>
  <c r="S53" i="11"/>
  <c r="S58" i="11"/>
  <c r="S47" i="11"/>
  <c r="S56" i="11"/>
  <c r="S42" i="11"/>
  <c r="S35" i="11"/>
  <c r="S34" i="11"/>
  <c r="S33" i="11"/>
  <c r="S31" i="11"/>
  <c r="S32" i="11"/>
  <c r="S17" i="11"/>
  <c r="S20" i="11"/>
  <c r="S23" i="11"/>
  <c r="S19" i="11"/>
  <c r="S21" i="11"/>
  <c r="S22" i="11"/>
  <c r="S18" i="11"/>
  <c r="S24" i="11"/>
  <c r="S16" i="11"/>
  <c r="S15" i="11"/>
  <c r="S9" i="11"/>
  <c r="S14" i="11"/>
  <c r="S10" i="11"/>
  <c r="S7" i="11"/>
  <c r="S25" i="11"/>
  <c r="S26" i="11"/>
  <c r="S30" i="11"/>
  <c r="S29" i="11"/>
  <c r="S13" i="11"/>
  <c r="T5" i="11"/>
  <c r="S27" i="11"/>
  <c r="S12" i="11"/>
  <c r="S28" i="11"/>
  <c r="S11" i="11"/>
  <c r="T42" i="11" l="1"/>
  <c r="T36" i="11"/>
  <c r="T41" i="11"/>
  <c r="T46" i="11"/>
  <c r="T39" i="11"/>
  <c r="T44" i="11"/>
  <c r="T38" i="11"/>
  <c r="T37" i="11"/>
  <c r="T51" i="11"/>
  <c r="T43" i="11"/>
  <c r="T48" i="11"/>
  <c r="T49" i="11"/>
  <c r="T55" i="11"/>
  <c r="T50" i="11"/>
  <c r="T40" i="11"/>
  <c r="T53" i="11"/>
  <c r="T57" i="11"/>
  <c r="T52" i="11"/>
  <c r="T54" i="11"/>
  <c r="T47" i="11"/>
  <c r="T58" i="11"/>
  <c r="T56" i="11"/>
  <c r="T45" i="11"/>
  <c r="T35" i="11"/>
  <c r="T34" i="11"/>
  <c r="T33" i="11"/>
  <c r="T31" i="11"/>
  <c r="T32" i="11"/>
  <c r="T17" i="11"/>
  <c r="T18" i="11"/>
  <c r="T20" i="11"/>
  <c r="T23" i="11"/>
  <c r="T19" i="11"/>
  <c r="T21" i="11"/>
  <c r="T22" i="11"/>
  <c r="T24" i="11"/>
  <c r="T16" i="11"/>
  <c r="T15" i="11"/>
  <c r="T25" i="11"/>
  <c r="T14" i="11"/>
  <c r="T28" i="11"/>
  <c r="T10" i="11"/>
  <c r="T12" i="11"/>
  <c r="T9" i="11"/>
  <c r="T13" i="11"/>
  <c r="T11" i="11"/>
  <c r="T27" i="11"/>
  <c r="T30" i="11"/>
  <c r="T7" i="11"/>
  <c r="T26" i="11"/>
  <c r="U5" i="11"/>
  <c r="T29" i="11"/>
  <c r="U37" i="11" l="1"/>
  <c r="U36" i="11"/>
  <c r="U41" i="11"/>
  <c r="U52" i="11"/>
  <c r="U40" i="11"/>
  <c r="U45" i="11"/>
  <c r="U39" i="11"/>
  <c r="U44" i="11"/>
  <c r="U51" i="11"/>
  <c r="U56" i="11"/>
  <c r="U43" i="11"/>
  <c r="U48" i="11"/>
  <c r="U49" i="11"/>
  <c r="U38" i="11"/>
  <c r="U42" i="11"/>
  <c r="U47" i="11"/>
  <c r="U53" i="11"/>
  <c r="U54" i="11"/>
  <c r="U55" i="11"/>
  <c r="U58" i="11"/>
  <c r="U50" i="11"/>
  <c r="U57" i="11"/>
  <c r="U46" i="11"/>
  <c r="U35" i="11"/>
  <c r="U34" i="11"/>
  <c r="U32" i="11"/>
  <c r="U33" i="11"/>
  <c r="U31" i="11"/>
  <c r="U17" i="11"/>
  <c r="U20" i="11"/>
  <c r="U23" i="11"/>
  <c r="U19" i="11"/>
  <c r="U18" i="11"/>
  <c r="U21" i="11"/>
  <c r="U22" i="11"/>
  <c r="U24" i="11"/>
  <c r="U15" i="11"/>
  <c r="U16" i="11"/>
  <c r="U11" i="11"/>
  <c r="U14" i="11"/>
  <c r="U25" i="11"/>
  <c r="U28" i="11"/>
  <c r="U10" i="11"/>
  <c r="U9" i="11"/>
  <c r="U30" i="11"/>
  <c r="U13" i="11"/>
  <c r="U12" i="11"/>
  <c r="U27" i="11"/>
  <c r="U26" i="11"/>
  <c r="U7" i="11"/>
  <c r="V5" i="11"/>
  <c r="U29" i="11"/>
  <c r="V43" i="11" l="1"/>
  <c r="V37" i="11"/>
  <c r="V42" i="11"/>
  <c r="V36" i="11"/>
  <c r="V41" i="11"/>
  <c r="V40" i="11"/>
  <c r="V45" i="11"/>
  <c r="V39" i="11"/>
  <c r="V51" i="11"/>
  <c r="V56" i="11"/>
  <c r="V48" i="11"/>
  <c r="V49" i="11"/>
  <c r="V55" i="11"/>
  <c r="V52" i="11"/>
  <c r="V44" i="11"/>
  <c r="V57" i="11"/>
  <c r="V53" i="11"/>
  <c r="V47" i="11"/>
  <c r="V54" i="11"/>
  <c r="V38" i="11"/>
  <c r="V58" i="11"/>
  <c r="V46" i="11"/>
  <c r="V50" i="11"/>
  <c r="V35" i="11"/>
  <c r="V31" i="11"/>
  <c r="V34" i="11"/>
  <c r="V32" i="11"/>
  <c r="V33" i="11"/>
  <c r="V17" i="11"/>
  <c r="V18" i="11"/>
  <c r="V21" i="11"/>
  <c r="V24" i="11"/>
  <c r="V20" i="11"/>
  <c r="V19" i="11"/>
  <c r="V22" i="11"/>
  <c r="V23" i="11"/>
  <c r="V16" i="11"/>
  <c r="V15" i="11"/>
  <c r="V14" i="11"/>
  <c r="V27" i="11"/>
  <c r="V30" i="11"/>
  <c r="V7" i="11"/>
  <c r="V25" i="11"/>
  <c r="V10" i="11"/>
  <c r="V12" i="11"/>
  <c r="V11" i="11"/>
  <c r="V4" i="11"/>
  <c r="V13" i="11"/>
  <c r="V28" i="11"/>
  <c r="V26" i="11"/>
  <c r="W5" i="11"/>
  <c r="V29" i="11"/>
  <c r="V9" i="11"/>
  <c r="W38" i="11" l="1"/>
  <c r="W37" i="11"/>
  <c r="W42" i="11"/>
  <c r="W36" i="11"/>
  <c r="W47" i="11"/>
  <c r="W46" i="11"/>
  <c r="W40" i="11"/>
  <c r="W45" i="11"/>
  <c r="W53" i="11"/>
  <c r="W41" i="11"/>
  <c r="W43" i="11"/>
  <c r="W51" i="11"/>
  <c r="W56" i="11"/>
  <c r="W48" i="11"/>
  <c r="W49" i="11"/>
  <c r="W50" i="11"/>
  <c r="W57" i="11"/>
  <c r="W44" i="11"/>
  <c r="W52" i="11"/>
  <c r="W58" i="11"/>
  <c r="W55" i="11"/>
  <c r="W54" i="11"/>
  <c r="W39" i="11"/>
  <c r="W35" i="11"/>
  <c r="W31" i="11"/>
  <c r="W34" i="11"/>
  <c r="W32" i="11"/>
  <c r="W33" i="11"/>
  <c r="W17" i="11"/>
  <c r="W18" i="11"/>
  <c r="W21" i="11"/>
  <c r="W24" i="11"/>
  <c r="W22" i="11"/>
  <c r="W19" i="11"/>
  <c r="W20" i="11"/>
  <c r="W23" i="11"/>
  <c r="W16" i="11"/>
  <c r="W15" i="11"/>
  <c r="W14" i="11"/>
  <c r="W7" i="11"/>
  <c r="W27" i="11"/>
  <c r="W11" i="11"/>
  <c r="W30" i="11"/>
  <c r="W28" i="11"/>
  <c r="W26" i="11"/>
  <c r="W25" i="11"/>
  <c r="W10" i="11"/>
  <c r="W12" i="11"/>
  <c r="W29" i="11"/>
  <c r="W9" i="11"/>
  <c r="X5" i="11"/>
  <c r="W13" i="11"/>
  <c r="X44" i="11" l="1"/>
  <c r="X38" i="11"/>
  <c r="X43" i="11"/>
  <c r="X37" i="11"/>
  <c r="X42" i="11"/>
  <c r="X53" i="11"/>
  <c r="X36" i="11"/>
  <c r="X46" i="11"/>
  <c r="X40" i="11"/>
  <c r="X47" i="11"/>
  <c r="X57" i="11"/>
  <c r="X41" i="11"/>
  <c r="X51" i="11"/>
  <c r="X48" i="11"/>
  <c r="X49" i="11"/>
  <c r="X39" i="11"/>
  <c r="X54" i="11"/>
  <c r="X58" i="11"/>
  <c r="X52" i="11"/>
  <c r="X56" i="11"/>
  <c r="X55" i="11"/>
  <c r="X45" i="11"/>
  <c r="X50" i="11"/>
  <c r="X35" i="11"/>
  <c r="X31" i="11"/>
  <c r="X32" i="11"/>
  <c r="X34" i="11"/>
  <c r="X33" i="11"/>
  <c r="X17" i="11"/>
  <c r="X19" i="11"/>
  <c r="X18" i="11"/>
  <c r="X21" i="11"/>
  <c r="X24" i="11"/>
  <c r="X20" i="11"/>
  <c r="X22" i="11"/>
  <c r="X23" i="11"/>
  <c r="X14" i="11"/>
  <c r="X15" i="11"/>
  <c r="X16" i="11"/>
  <c r="X29" i="11"/>
  <c r="X7" i="11"/>
  <c r="X13" i="11"/>
  <c r="X27" i="11"/>
  <c r="X10" i="11"/>
  <c r="Y5" i="11"/>
  <c r="X9" i="11"/>
  <c r="X30" i="11"/>
  <c r="X12" i="11"/>
  <c r="X25" i="11"/>
  <c r="X26" i="11"/>
  <c r="X28" i="11"/>
  <c r="X11" i="11"/>
  <c r="Y39" i="11" l="1"/>
  <c r="Y38" i="11"/>
  <c r="Y37" i="11"/>
  <c r="Y48" i="11"/>
  <c r="Y36" i="11"/>
  <c r="Y41" i="11"/>
  <c r="Y46" i="11"/>
  <c r="Y44" i="11"/>
  <c r="Y50" i="11"/>
  <c r="Y47" i="11"/>
  <c r="Y53" i="11"/>
  <c r="Y43" i="11"/>
  <c r="Y51" i="11"/>
  <c r="Y56" i="11"/>
  <c r="Y45" i="11"/>
  <c r="Y52" i="11"/>
  <c r="Y42" i="11"/>
  <c r="Y40" i="11"/>
  <c r="Y57" i="11"/>
  <c r="Y55" i="11"/>
  <c r="Y49" i="11"/>
  <c r="Y54" i="11"/>
  <c r="Y58" i="11"/>
  <c r="Y35" i="11"/>
  <c r="Y32" i="11"/>
  <c r="Y31" i="11"/>
  <c r="Y33" i="11"/>
  <c r="Y34" i="11"/>
  <c r="Y17" i="11"/>
  <c r="Y18" i="11"/>
  <c r="Y21" i="11"/>
  <c r="Y24" i="11"/>
  <c r="Y20" i="11"/>
  <c r="Y22" i="11"/>
  <c r="Y19" i="11"/>
  <c r="Y23" i="11"/>
  <c r="Y15" i="11"/>
  <c r="Y16" i="11"/>
  <c r="Y11" i="11"/>
  <c r="Y14" i="11"/>
  <c r="Y12" i="11"/>
  <c r="Y13" i="11"/>
  <c r="Y9" i="11"/>
  <c r="Z5" i="11"/>
  <c r="Z42" i="11" s="1"/>
  <c r="Y10" i="11"/>
  <c r="Y29" i="11"/>
  <c r="Y27" i="11"/>
  <c r="Y25" i="11"/>
  <c r="Y28" i="11"/>
  <c r="Y30" i="11"/>
  <c r="Y7" i="11"/>
  <c r="Y26" i="11"/>
  <c r="Z45" i="11" l="1"/>
  <c r="Z39" i="11"/>
  <c r="Z38" i="11"/>
  <c r="Z43" i="11"/>
  <c r="Z37" i="11"/>
  <c r="Z36" i="11"/>
  <c r="Z47" i="11"/>
  <c r="Z41" i="11"/>
  <c r="Z40" i="11"/>
  <c r="Z44" i="11"/>
  <c r="Z50" i="11"/>
  <c r="Z53" i="11"/>
  <c r="Z51" i="11"/>
  <c r="Z46" i="11"/>
  <c r="Z57" i="11"/>
  <c r="Z54" i="11"/>
  <c r="Z55" i="11"/>
  <c r="Z48" i="11"/>
  <c r="Z52" i="11"/>
  <c r="Z49" i="11"/>
  <c r="Z56" i="11"/>
  <c r="Z58" i="11"/>
  <c r="Z35" i="11"/>
  <c r="Z32" i="11"/>
  <c r="Z31" i="11"/>
  <c r="Z33" i="11"/>
  <c r="Z34" i="11"/>
  <c r="Z17" i="11"/>
  <c r="Z19" i="11"/>
  <c r="Z22" i="11"/>
  <c r="Z18" i="11"/>
  <c r="Z21" i="11"/>
  <c r="Z24" i="11"/>
  <c r="Z20" i="11"/>
  <c r="Z23" i="11"/>
  <c r="Z15" i="11"/>
  <c r="Z16" i="11"/>
  <c r="Z11" i="11"/>
  <c r="Z14" i="11"/>
  <c r="Z13" i="11"/>
  <c r="Z28" i="11"/>
  <c r="Z26" i="11"/>
  <c r="Z30" i="11"/>
  <c r="Z12" i="11"/>
  <c r="Z7" i="11"/>
  <c r="AA5" i="11"/>
  <c r="Z27" i="11"/>
  <c r="Z25" i="11"/>
  <c r="Z10" i="11"/>
  <c r="Z9" i="11"/>
  <c r="Z29" i="11"/>
  <c r="AA40" i="11" l="1"/>
  <c r="AA39" i="11"/>
  <c r="AA38" i="11"/>
  <c r="AA49" i="11"/>
  <c r="AA37" i="11"/>
  <c r="AA42" i="11"/>
  <c r="AA36" i="11"/>
  <c r="AA47" i="11"/>
  <c r="AA41" i="11"/>
  <c r="AA54" i="11"/>
  <c r="AA58" i="11"/>
  <c r="AA44" i="11"/>
  <c r="AA50" i="11"/>
  <c r="AA53" i="11"/>
  <c r="AA43" i="11"/>
  <c r="AA51" i="11"/>
  <c r="AA45" i="11"/>
  <c r="AA46" i="11"/>
  <c r="AA48" i="11"/>
  <c r="AA57" i="11"/>
  <c r="AA52" i="11"/>
  <c r="AA55" i="11"/>
  <c r="AA56" i="11"/>
  <c r="AA35" i="11"/>
  <c r="AA32" i="11"/>
  <c r="AA33" i="11"/>
  <c r="AA31" i="11"/>
  <c r="AA34" i="11"/>
  <c r="AA17" i="11"/>
  <c r="AA19" i="11"/>
  <c r="AA22" i="11"/>
  <c r="AA23" i="11"/>
  <c r="AA21" i="11"/>
  <c r="AA18" i="11"/>
  <c r="AA20" i="11"/>
  <c r="AA24" i="11"/>
  <c r="AA15" i="11"/>
  <c r="AA16" i="11"/>
  <c r="AA14" i="11"/>
  <c r="AB5" i="11"/>
  <c r="AA30" i="11"/>
  <c r="AA12" i="11"/>
  <c r="AA27" i="11"/>
  <c r="AA25" i="11"/>
  <c r="AA29" i="11"/>
  <c r="AA7" i="11"/>
  <c r="AA9" i="11"/>
  <c r="AA13" i="11"/>
  <c r="AA26" i="11"/>
  <c r="AA10" i="11"/>
  <c r="AA28" i="11"/>
  <c r="AA11" i="11"/>
  <c r="AB40" i="11" l="1"/>
  <c r="AB39" i="11"/>
  <c r="AB44" i="11"/>
  <c r="AB38" i="11"/>
  <c r="AB37" i="11"/>
  <c r="AB48" i="11"/>
  <c r="AB42" i="11"/>
  <c r="AB36" i="11"/>
  <c r="AB47" i="11"/>
  <c r="AB45" i="11"/>
  <c r="AB46" i="11"/>
  <c r="AB52" i="11"/>
  <c r="AB54" i="11"/>
  <c r="AB50" i="11"/>
  <c r="AB41" i="11"/>
  <c r="AB53" i="11"/>
  <c r="AB43" i="11"/>
  <c r="AB49" i="11"/>
  <c r="AB56" i="11"/>
  <c r="AB58" i="11"/>
  <c r="AB57" i="11"/>
  <c r="AB51" i="11"/>
  <c r="AB55" i="11"/>
  <c r="AB35" i="11"/>
  <c r="AB33" i="11"/>
  <c r="AB32" i="11"/>
  <c r="AB31" i="11"/>
  <c r="AB34" i="11"/>
  <c r="AB17" i="11"/>
  <c r="AB19" i="11"/>
  <c r="AB22" i="11"/>
  <c r="AB18" i="11"/>
  <c r="AB21" i="11"/>
  <c r="AB24" i="11"/>
  <c r="AB23" i="11"/>
  <c r="AB20" i="11"/>
  <c r="AB16" i="11"/>
  <c r="AB15" i="11"/>
  <c r="AB14" i="11"/>
  <c r="AB26" i="11"/>
  <c r="AB13" i="11"/>
  <c r="AB11" i="11"/>
  <c r="AB12" i="11"/>
  <c r="AB28" i="11"/>
  <c r="AB9" i="11"/>
  <c r="AB25" i="11"/>
  <c r="AB10" i="11"/>
  <c r="AB7" i="11"/>
  <c r="AC5" i="11"/>
  <c r="AB29" i="11"/>
  <c r="AB30" i="11"/>
  <c r="AB27" i="11"/>
  <c r="AC40" i="11" l="1"/>
  <c r="AC39" i="11"/>
  <c r="AC50" i="11"/>
  <c r="AC38" i="11"/>
  <c r="AC43" i="11"/>
  <c r="AC37" i="11"/>
  <c r="AC42" i="11"/>
  <c r="AC45" i="11"/>
  <c r="AC46" i="11"/>
  <c r="AC52" i="11"/>
  <c r="AC47" i="11"/>
  <c r="AC36" i="11"/>
  <c r="AC44" i="11"/>
  <c r="AC54" i="11"/>
  <c r="AC41" i="11"/>
  <c r="AC48" i="11"/>
  <c r="AC55" i="11"/>
  <c r="AC58" i="11"/>
  <c r="AC51" i="11"/>
  <c r="AC53" i="11"/>
  <c r="AC49" i="11"/>
  <c r="AC56" i="11"/>
  <c r="AC57" i="11"/>
  <c r="AC35" i="11"/>
  <c r="AC33" i="11"/>
  <c r="AC32" i="11"/>
  <c r="AC34" i="11"/>
  <c r="AC31" i="11"/>
  <c r="AC17" i="11"/>
  <c r="AC19" i="11"/>
  <c r="AC22" i="11"/>
  <c r="AC18" i="11"/>
  <c r="AC24" i="11"/>
  <c r="AC20" i="11"/>
  <c r="AC23" i="11"/>
  <c r="AC21" i="11"/>
  <c r="AC16" i="11"/>
  <c r="AC15" i="11"/>
  <c r="AC14" i="11"/>
  <c r="AC9" i="11"/>
  <c r="AC13" i="11"/>
  <c r="AC7" i="11"/>
  <c r="AC11" i="11"/>
  <c r="AC26" i="11"/>
  <c r="AC27" i="11"/>
  <c r="AC4" i="11"/>
  <c r="AC28" i="11"/>
  <c r="AC10" i="11"/>
  <c r="AC30" i="11"/>
  <c r="AC12" i="11"/>
  <c r="AD5" i="11"/>
  <c r="AC25" i="11"/>
  <c r="AC29" i="11"/>
  <c r="AD41" i="11" l="1"/>
  <c r="AD40" i="11"/>
  <c r="AD45" i="11"/>
  <c r="AD39" i="11"/>
  <c r="AD38" i="11"/>
  <c r="AD49" i="11"/>
  <c r="AD43" i="11"/>
  <c r="AD37" i="11"/>
  <c r="AD42" i="11"/>
  <c r="AD55" i="11"/>
  <c r="AD46" i="11"/>
  <c r="AD47" i="11"/>
  <c r="AD52" i="11"/>
  <c r="AD36" i="11"/>
  <c r="AD44" i="11"/>
  <c r="AD50" i="11"/>
  <c r="AD53" i="11"/>
  <c r="AD51" i="11"/>
  <c r="AD56" i="11"/>
  <c r="AD58" i="11"/>
  <c r="AD48" i="11"/>
  <c r="AD54" i="11"/>
  <c r="AD57" i="11"/>
  <c r="AD35" i="11"/>
  <c r="AD33" i="11"/>
  <c r="AD32" i="11"/>
  <c r="AD34" i="11"/>
  <c r="AD31" i="11"/>
  <c r="AD17" i="11"/>
  <c r="AD20" i="11"/>
  <c r="AD23" i="11"/>
  <c r="AD19" i="11"/>
  <c r="AD24" i="11"/>
  <c r="AD21" i="11"/>
  <c r="AD22" i="11"/>
  <c r="AD18" i="11"/>
  <c r="AD16" i="11"/>
  <c r="AD15" i="11"/>
  <c r="AD26" i="11"/>
  <c r="AD14" i="11"/>
  <c r="AD25" i="11"/>
  <c r="AD13" i="11"/>
  <c r="AE5" i="11"/>
  <c r="AD30" i="11"/>
  <c r="AD12" i="11"/>
  <c r="AD28" i="11"/>
  <c r="AD9" i="11"/>
  <c r="AD11" i="11"/>
  <c r="AD27" i="11"/>
  <c r="AD10" i="11"/>
  <c r="AD7" i="11"/>
  <c r="AD29" i="11"/>
  <c r="AE36" i="11" l="1"/>
  <c r="AE41" i="11"/>
  <c r="AE40" i="11"/>
  <c r="AE51" i="11"/>
  <c r="AE39" i="11"/>
  <c r="AE44" i="11"/>
  <c r="AE38" i="11"/>
  <c r="AE43" i="11"/>
  <c r="AE48" i="11"/>
  <c r="AE49" i="11"/>
  <c r="AE37" i="11"/>
  <c r="AE55" i="11"/>
  <c r="AE42" i="11"/>
  <c r="AE45" i="11"/>
  <c r="AE46" i="11"/>
  <c r="AE47" i="11"/>
  <c r="AE52" i="11"/>
  <c r="AE50" i="11"/>
  <c r="AE54" i="11"/>
  <c r="AE58" i="11"/>
  <c r="AE56" i="11"/>
  <c r="AE53" i="11"/>
  <c r="AE57" i="11"/>
  <c r="AE35" i="11"/>
  <c r="AE34" i="11"/>
  <c r="AE33" i="11"/>
  <c r="AE31" i="11"/>
  <c r="AE32" i="11"/>
  <c r="AE17" i="11"/>
  <c r="AE20" i="11"/>
  <c r="AE23" i="11"/>
  <c r="AE24" i="11"/>
  <c r="AE19" i="11"/>
  <c r="AE18" i="11"/>
  <c r="AE22" i="11"/>
  <c r="AE21" i="11"/>
  <c r="AE16" i="11"/>
  <c r="AE15" i="11"/>
  <c r="AE7" i="11"/>
  <c r="AE14" i="11"/>
  <c r="AE12" i="11"/>
  <c r="AE30" i="11"/>
  <c r="AE10" i="11"/>
  <c r="AE13" i="11"/>
  <c r="AE27" i="11"/>
  <c r="AE29" i="11"/>
  <c r="AE26" i="11"/>
  <c r="AE11" i="11"/>
  <c r="AE25" i="11"/>
  <c r="AF5" i="11"/>
  <c r="AE28" i="11"/>
  <c r="AE9" i="11"/>
  <c r="AF42" i="11" l="1"/>
  <c r="AF36" i="11"/>
  <c r="AF41" i="11"/>
  <c r="AF46" i="11"/>
  <c r="AF39" i="11"/>
  <c r="AF44" i="11"/>
  <c r="AF38" i="11"/>
  <c r="AF40" i="11"/>
  <c r="AF48" i="11"/>
  <c r="AF49" i="11"/>
  <c r="AF37" i="11"/>
  <c r="AF45" i="11"/>
  <c r="AF55" i="11"/>
  <c r="AF47" i="11"/>
  <c r="AF52" i="11"/>
  <c r="AF50" i="11"/>
  <c r="AF43" i="11"/>
  <c r="AF57" i="11"/>
  <c r="AF51" i="11"/>
  <c r="AF56" i="11"/>
  <c r="AF58" i="11"/>
  <c r="AF53" i="11"/>
  <c r="AF54" i="11"/>
  <c r="AF35" i="11"/>
  <c r="AF34" i="11"/>
  <c r="AF33" i="11"/>
  <c r="AF32" i="11"/>
  <c r="AF31" i="11"/>
  <c r="AF17" i="11"/>
  <c r="AF18" i="11"/>
  <c r="AF20" i="11"/>
  <c r="AF23" i="11"/>
  <c r="AF19" i="11"/>
  <c r="AF24" i="11"/>
  <c r="AF22" i="11"/>
  <c r="AF21" i="11"/>
  <c r="AF16" i="11"/>
  <c r="AF15" i="11"/>
  <c r="AF14" i="11"/>
  <c r="AF11" i="11"/>
  <c r="AF25" i="11"/>
  <c r="AF13" i="11"/>
  <c r="AF28" i="11"/>
  <c r="AF9" i="11"/>
  <c r="AG5" i="11"/>
  <c r="AF29" i="11"/>
  <c r="AF10" i="11"/>
  <c r="AF30" i="11"/>
  <c r="AF26" i="11"/>
  <c r="AF27" i="11"/>
  <c r="AF7" i="11"/>
  <c r="AF12" i="11"/>
  <c r="AG37" i="11" l="1"/>
  <c r="AG36" i="11"/>
  <c r="AG41" i="11"/>
  <c r="AG52" i="11"/>
  <c r="AG40" i="11"/>
  <c r="AG45" i="11"/>
  <c r="AG39" i="11"/>
  <c r="AG44" i="11"/>
  <c r="AG38" i="11"/>
  <c r="AG51" i="11"/>
  <c r="AG56" i="11"/>
  <c r="AG48" i="11"/>
  <c r="AG49" i="11"/>
  <c r="AG42" i="11"/>
  <c r="AG46" i="11"/>
  <c r="AG47" i="11"/>
  <c r="AG50" i="11"/>
  <c r="AG53" i="11"/>
  <c r="AG54" i="11"/>
  <c r="AG57" i="11"/>
  <c r="AG58" i="11"/>
  <c r="AG43" i="11"/>
  <c r="AG55" i="11"/>
  <c r="AG35" i="11"/>
  <c r="AG34" i="11"/>
  <c r="AG33" i="11"/>
  <c r="AG32" i="11"/>
  <c r="AG31" i="11"/>
  <c r="AG17" i="11"/>
  <c r="AG20" i="11"/>
  <c r="AG23" i="11"/>
  <c r="AG18" i="11"/>
  <c r="AG21" i="11"/>
  <c r="AG24" i="11"/>
  <c r="AG19" i="11"/>
  <c r="AG22" i="11"/>
  <c r="AG15" i="11"/>
  <c r="AG16" i="11"/>
  <c r="AG7" i="11"/>
  <c r="AG14" i="11"/>
  <c r="AG27" i="11"/>
  <c r="AG26" i="11"/>
  <c r="AG28" i="11"/>
  <c r="AH5" i="11"/>
  <c r="AG30" i="11"/>
  <c r="AG9" i="11"/>
  <c r="AG12" i="11"/>
  <c r="AG29" i="11"/>
  <c r="AG11" i="11"/>
  <c r="AG25" i="11"/>
  <c r="AG13" i="11"/>
  <c r="AG10" i="11"/>
  <c r="AH43" i="11" l="1"/>
  <c r="AH37" i="11"/>
  <c r="AH42" i="11"/>
  <c r="AH36" i="11"/>
  <c r="AH41" i="11"/>
  <c r="AH40" i="11"/>
  <c r="AH45" i="11"/>
  <c r="AH39" i="11"/>
  <c r="AH38" i="11"/>
  <c r="AH51" i="11"/>
  <c r="AH56" i="11"/>
  <c r="AH48" i="11"/>
  <c r="AH49" i="11"/>
  <c r="AH44" i="11"/>
  <c r="AH46" i="11"/>
  <c r="AH55" i="11"/>
  <c r="AH47" i="11"/>
  <c r="AH50" i="11"/>
  <c r="AH57" i="11"/>
  <c r="AH58" i="11"/>
  <c r="AH52" i="11"/>
  <c r="AH54" i="11"/>
  <c r="AH53" i="11"/>
  <c r="AH35" i="11"/>
  <c r="AH31" i="11"/>
  <c r="AH34" i="11"/>
  <c r="AH32" i="11"/>
  <c r="AH33" i="11"/>
  <c r="AH17" i="11"/>
  <c r="AH18" i="11"/>
  <c r="AH21" i="11"/>
  <c r="AH24" i="11"/>
  <c r="AH20" i="11"/>
  <c r="AH22" i="11"/>
  <c r="AH23" i="11"/>
  <c r="AH19" i="11"/>
  <c r="AH16" i="11"/>
  <c r="AH15" i="11"/>
  <c r="AH14" i="11"/>
  <c r="AH12" i="11"/>
  <c r="AH10" i="11"/>
  <c r="AI5" i="11"/>
  <c r="AH7" i="11"/>
  <c r="AH9" i="11"/>
  <c r="AH27" i="11"/>
  <c r="AH13" i="11"/>
  <c r="AH30" i="11"/>
  <c r="AH28" i="11"/>
  <c r="AH26" i="11"/>
  <c r="AH25" i="11"/>
  <c r="AH11" i="11"/>
  <c r="AH29" i="11"/>
  <c r="AI38" i="11" l="1"/>
  <c r="AI37" i="11"/>
  <c r="AI36" i="11"/>
  <c r="AI47" i="11"/>
  <c r="AI46" i="11"/>
  <c r="AI40" i="11"/>
  <c r="AI45" i="11"/>
  <c r="AI51" i="11"/>
  <c r="AI56" i="11"/>
  <c r="AI42" i="11"/>
  <c r="AI48" i="11"/>
  <c r="AI49" i="11"/>
  <c r="AI41" i="11"/>
  <c r="AI44" i="11"/>
  <c r="AI52" i="11"/>
  <c r="AI54" i="11"/>
  <c r="AI55" i="11"/>
  <c r="AI57" i="11"/>
  <c r="AI53" i="11"/>
  <c r="AI50" i="11"/>
  <c r="AI58" i="11"/>
  <c r="AI43" i="11"/>
  <c r="AI39" i="11"/>
  <c r="AI35" i="11"/>
  <c r="AI31" i="11"/>
  <c r="AI34" i="11"/>
  <c r="AI33" i="11"/>
  <c r="AI32" i="11"/>
  <c r="AI17" i="11"/>
  <c r="AI18" i="11"/>
  <c r="AI21" i="11"/>
  <c r="AI24" i="11"/>
  <c r="AI22" i="11"/>
  <c r="AI23" i="11"/>
  <c r="AI19" i="11"/>
  <c r="AI20" i="11"/>
  <c r="AI15" i="11"/>
  <c r="AI16" i="11"/>
  <c r="AI30" i="11"/>
  <c r="AI14" i="11"/>
  <c r="AI9" i="11"/>
  <c r="AI27" i="11"/>
  <c r="AI29" i="11"/>
  <c r="AI12" i="11"/>
  <c r="AI26" i="11"/>
  <c r="AI7" i="11"/>
  <c r="AI11" i="11"/>
  <c r="AI13" i="11"/>
  <c r="AI25" i="11"/>
  <c r="AJ5" i="11"/>
  <c r="AI28" i="11"/>
  <c r="AI10" i="11"/>
  <c r="AJ44" i="11" l="1"/>
  <c r="AJ38" i="11"/>
  <c r="AJ43" i="11"/>
  <c r="AJ37" i="11"/>
  <c r="AJ42" i="11"/>
  <c r="AJ53" i="11"/>
  <c r="AJ36" i="11"/>
  <c r="AJ46" i="11"/>
  <c r="AJ40" i="11"/>
  <c r="AJ39" i="11"/>
  <c r="AJ57" i="11"/>
  <c r="AJ51" i="11"/>
  <c r="AJ45" i="11"/>
  <c r="AJ48" i="11"/>
  <c r="AJ49" i="11"/>
  <c r="AJ41" i="11"/>
  <c r="AJ50" i="11"/>
  <c r="AJ54" i="11"/>
  <c r="AJ55" i="11"/>
  <c r="AJ56" i="11"/>
  <c r="AJ47" i="11"/>
  <c r="AJ58" i="11"/>
  <c r="AJ52" i="11"/>
  <c r="AJ35" i="11"/>
  <c r="AJ31" i="11"/>
  <c r="AJ34" i="11"/>
  <c r="AJ33" i="11"/>
  <c r="AJ32" i="11"/>
  <c r="AJ17" i="11"/>
  <c r="AJ18" i="11"/>
  <c r="AJ21" i="11"/>
  <c r="AJ24" i="11"/>
  <c r="AJ20" i="11"/>
  <c r="AJ22" i="11"/>
  <c r="AJ23" i="11"/>
  <c r="AJ19" i="11"/>
  <c r="AJ15" i="11"/>
  <c r="AJ16" i="11"/>
  <c r="AJ14" i="11"/>
  <c r="AJ11" i="11"/>
  <c r="AJ28" i="11"/>
  <c r="AJ9" i="11"/>
  <c r="AJ29" i="11"/>
  <c r="AJ25" i="11"/>
  <c r="AK5" i="11"/>
  <c r="AJ10" i="11"/>
  <c r="AJ13" i="11"/>
  <c r="AJ26" i="11"/>
  <c r="AJ27" i="11"/>
  <c r="AJ4" i="11"/>
  <c r="AJ30" i="11"/>
  <c r="AJ7" i="11"/>
  <c r="AJ12" i="11"/>
  <c r="AK39" i="11" l="1"/>
  <c r="AK38" i="11"/>
  <c r="AK37" i="11"/>
  <c r="AK48" i="11"/>
  <c r="AK36" i="11"/>
  <c r="AK41" i="11"/>
  <c r="AK46" i="11"/>
  <c r="AK53" i="11"/>
  <c r="AK40" i="11"/>
  <c r="AK51" i="11"/>
  <c r="AK42" i="11"/>
  <c r="AK45" i="11"/>
  <c r="AK56" i="11"/>
  <c r="AK49" i="11"/>
  <c r="AK44" i="11"/>
  <c r="AK43" i="11"/>
  <c r="AK50" i="11"/>
  <c r="AK54" i="11"/>
  <c r="AK55" i="11"/>
  <c r="AK57" i="11"/>
  <c r="AK47" i="11"/>
  <c r="AK58" i="11"/>
  <c r="AK52" i="11"/>
  <c r="AK35" i="11"/>
  <c r="AK32" i="11"/>
  <c r="AK31" i="11"/>
  <c r="AK34" i="11"/>
  <c r="AK33" i="11"/>
  <c r="AK17" i="11"/>
  <c r="AK21" i="11"/>
  <c r="AK24" i="11"/>
  <c r="AK18" i="11"/>
  <c r="AK20" i="11"/>
  <c r="AK22" i="11"/>
  <c r="AK23" i="11"/>
  <c r="AK19" i="11"/>
  <c r="AK15" i="11"/>
  <c r="AK16" i="11"/>
  <c r="AK14" i="11"/>
  <c r="AK13" i="11"/>
  <c r="AK7" i="11"/>
  <c r="AK30" i="11"/>
  <c r="AK11" i="11"/>
  <c r="AK12" i="11"/>
  <c r="AK9" i="11"/>
  <c r="AK10" i="11"/>
  <c r="AK29" i="11"/>
  <c r="AK26" i="11"/>
  <c r="AL5" i="11"/>
  <c r="AK28" i="11"/>
  <c r="AK25" i="11"/>
  <c r="AK27" i="11"/>
  <c r="AL45" i="11" l="1"/>
  <c r="AL39" i="11"/>
  <c r="AL38" i="11"/>
  <c r="AL43" i="11"/>
  <c r="AL37" i="11"/>
  <c r="AL36" i="11"/>
  <c r="AL47" i="11"/>
  <c r="AL41" i="11"/>
  <c r="AL50" i="11"/>
  <c r="AL53" i="11"/>
  <c r="AL40" i="11"/>
  <c r="AL51" i="11"/>
  <c r="AL42" i="11"/>
  <c r="AL46" i="11"/>
  <c r="AL48" i="11"/>
  <c r="AL49" i="11"/>
  <c r="AL52" i="11"/>
  <c r="AL44" i="11"/>
  <c r="AL54" i="11"/>
  <c r="AL55" i="11"/>
  <c r="AL57" i="11"/>
  <c r="AL56" i="11"/>
  <c r="AL58" i="11"/>
  <c r="AL35" i="11"/>
  <c r="AL32" i="11"/>
  <c r="AL31" i="11"/>
  <c r="AL34" i="11"/>
  <c r="AL33" i="11"/>
  <c r="AL17" i="11"/>
  <c r="AL19" i="11"/>
  <c r="AL22" i="11"/>
  <c r="AL18" i="11"/>
  <c r="AL21" i="11"/>
  <c r="AL20" i="11"/>
  <c r="AL23" i="11"/>
  <c r="AL24" i="11"/>
  <c r="AL15" i="11"/>
  <c r="AL16" i="11"/>
  <c r="AL14" i="11"/>
  <c r="AL26" i="11"/>
  <c r="AM5" i="11"/>
  <c r="AL10" i="11"/>
  <c r="AL13" i="11"/>
  <c r="AL29" i="11"/>
  <c r="AL9" i="11"/>
  <c r="AL12" i="11"/>
  <c r="AL11" i="11"/>
  <c r="AL7" i="11"/>
  <c r="AL27" i="11"/>
  <c r="AL25" i="11"/>
  <c r="AL30" i="11"/>
  <c r="AL28" i="11"/>
  <c r="AM40" i="11" l="1"/>
  <c r="AM39" i="11"/>
  <c r="AM38" i="11"/>
  <c r="AM49" i="11"/>
  <c r="AM37" i="11"/>
  <c r="AM42" i="11"/>
  <c r="AM36" i="11"/>
  <c r="AM47" i="11"/>
  <c r="AM41" i="11"/>
  <c r="AM50" i="11"/>
  <c r="AM54" i="11"/>
  <c r="AM58" i="11"/>
  <c r="AM53" i="11"/>
  <c r="AM45" i="11"/>
  <c r="AM51" i="11"/>
  <c r="AM46" i="11"/>
  <c r="AM48" i="11"/>
  <c r="AM52" i="11"/>
  <c r="AM44" i="11"/>
  <c r="AM55" i="11"/>
  <c r="AM57" i="11"/>
  <c r="AM43" i="11"/>
  <c r="AM56" i="11"/>
  <c r="AM35" i="11"/>
  <c r="AM32" i="11"/>
  <c r="AM31" i="11"/>
  <c r="AM33" i="11"/>
  <c r="AM34" i="11"/>
  <c r="AM19" i="11"/>
  <c r="AM22" i="11"/>
  <c r="AM21" i="11"/>
  <c r="AM23" i="11"/>
  <c r="AM20" i="11"/>
  <c r="AM24" i="11"/>
  <c r="AM18" i="11"/>
  <c r="AM10" i="11"/>
  <c r="AM17" i="11"/>
  <c r="AM15" i="11"/>
  <c r="AM16" i="11"/>
  <c r="AM29" i="11"/>
  <c r="AM14" i="11"/>
  <c r="AM25" i="11"/>
  <c r="AM26" i="11"/>
  <c r="AM28" i="11"/>
  <c r="AM12" i="11"/>
  <c r="AM9" i="11"/>
  <c r="AN5" i="11"/>
  <c r="AM11" i="11"/>
  <c r="AM13" i="11"/>
  <c r="AM7" i="11"/>
  <c r="AM30" i="11"/>
  <c r="AM27" i="11"/>
  <c r="AN40" i="11" l="1"/>
  <c r="AN39" i="11"/>
  <c r="AN44" i="11"/>
  <c r="AN38" i="11"/>
  <c r="AN37" i="11"/>
  <c r="AN48" i="11"/>
  <c r="AN42" i="11"/>
  <c r="AN36" i="11"/>
  <c r="AN47" i="11"/>
  <c r="AN43" i="11"/>
  <c r="AN50" i="11"/>
  <c r="AN54" i="11"/>
  <c r="AN53" i="11"/>
  <c r="AN45" i="11"/>
  <c r="AN51" i="11"/>
  <c r="AN41" i="11"/>
  <c r="AN56" i="11"/>
  <c r="AN55" i="11"/>
  <c r="AN57" i="11"/>
  <c r="AN46" i="11"/>
  <c r="AN49" i="11"/>
  <c r="AN58" i="11"/>
  <c r="AN52" i="11"/>
  <c r="AN35" i="11"/>
  <c r="AN33" i="11"/>
  <c r="AN32" i="11"/>
  <c r="AN31" i="11"/>
  <c r="AN34" i="11"/>
  <c r="AN17" i="11"/>
  <c r="AN19" i="11"/>
  <c r="AN22" i="11"/>
  <c r="AN18" i="11"/>
  <c r="AN23" i="11"/>
  <c r="AN21" i="11"/>
  <c r="AN20" i="11"/>
  <c r="AN24" i="11"/>
  <c r="AN16" i="11"/>
  <c r="AN15" i="11"/>
  <c r="AN28" i="11"/>
  <c r="AN14" i="11"/>
  <c r="AN25" i="11"/>
  <c r="AN12" i="11"/>
  <c r="AN27" i="11"/>
  <c r="AN11" i="11"/>
  <c r="AN26" i="11"/>
  <c r="AN13" i="11"/>
  <c r="AN30" i="11"/>
  <c r="AN10" i="11"/>
  <c r="AN9" i="11"/>
  <c r="AN7" i="11"/>
  <c r="AN29" i="11"/>
  <c r="AO5" i="11"/>
  <c r="AO40" i="11" l="1"/>
  <c r="AO39" i="11"/>
  <c r="AO50" i="11"/>
  <c r="AO38" i="11"/>
  <c r="AO43" i="11"/>
  <c r="AO37" i="11"/>
  <c r="AO42" i="11"/>
  <c r="AO52" i="11"/>
  <c r="AO54" i="11"/>
  <c r="AO36" i="11"/>
  <c r="AO53" i="11"/>
  <c r="AO44" i="11"/>
  <c r="AO47" i="11"/>
  <c r="AO58" i="11"/>
  <c r="AO51" i="11"/>
  <c r="AO41" i="11"/>
  <c r="AO57" i="11"/>
  <c r="AO55" i="11"/>
  <c r="AO48" i="11"/>
  <c r="AO56" i="11"/>
  <c r="AO46" i="11"/>
  <c r="AO49" i="11"/>
  <c r="AO45" i="11"/>
  <c r="AO35" i="11"/>
  <c r="AO33" i="11"/>
  <c r="AO32" i="11"/>
  <c r="AO31" i="11"/>
  <c r="AO34" i="11"/>
  <c r="AO17" i="11"/>
  <c r="AO22" i="11"/>
  <c r="AO19" i="11"/>
  <c r="AO20" i="11"/>
  <c r="AO24" i="11"/>
  <c r="AO18" i="11"/>
  <c r="AO21" i="11"/>
  <c r="AO23" i="11"/>
  <c r="AO16" i="11"/>
  <c r="AO15" i="11"/>
  <c r="AO27" i="11"/>
  <c r="AO14" i="11"/>
  <c r="AO11" i="11"/>
  <c r="AO30" i="11"/>
  <c r="AP5" i="11"/>
  <c r="AO25" i="11"/>
  <c r="AO26" i="11"/>
  <c r="AO7" i="11"/>
  <c r="AO9" i="11"/>
  <c r="AO13" i="11"/>
  <c r="AO29" i="11"/>
  <c r="AO12" i="11"/>
  <c r="AO10" i="11"/>
  <c r="AO28" i="11"/>
  <c r="AP41" i="11" l="1"/>
  <c r="AP40" i="11"/>
  <c r="AP45" i="11"/>
  <c r="AP38" i="11"/>
  <c r="AP43" i="11"/>
  <c r="AP37" i="11"/>
  <c r="AP39" i="11"/>
  <c r="AP55" i="11"/>
  <c r="AP52" i="11"/>
  <c r="AP50" i="11"/>
  <c r="AP36" i="11"/>
  <c r="AP42" i="11"/>
  <c r="AP46" i="11"/>
  <c r="AP49" i="11"/>
  <c r="AP51" i="11"/>
  <c r="AP54" i="11"/>
  <c r="AP44" i="11"/>
  <c r="AP58" i="11"/>
  <c r="AP47" i="11"/>
  <c r="AP57" i="11"/>
  <c r="AP48" i="11"/>
  <c r="AP53" i="11"/>
  <c r="AP56" i="11"/>
  <c r="AP35" i="11"/>
  <c r="AP33" i="11"/>
  <c r="AP31" i="11"/>
  <c r="AP34" i="11"/>
  <c r="AP32" i="11"/>
  <c r="AP17" i="11"/>
  <c r="AP20" i="11"/>
  <c r="AP23" i="11"/>
  <c r="AP19" i="11"/>
  <c r="AP21" i="11"/>
  <c r="AP22" i="11"/>
  <c r="AP18" i="11"/>
  <c r="AP24" i="11"/>
  <c r="AP16" i="11"/>
  <c r="AP15" i="11"/>
  <c r="AP14" i="11"/>
  <c r="AP12" i="11"/>
  <c r="AP9" i="11"/>
  <c r="AP30" i="11"/>
  <c r="AP29" i="11"/>
  <c r="AP27" i="11"/>
  <c r="AP28" i="11"/>
  <c r="AQ5" i="11"/>
  <c r="AP10" i="11"/>
  <c r="AP7" i="11"/>
  <c r="AP13" i="11"/>
  <c r="AP25" i="11"/>
  <c r="AP11" i="11"/>
  <c r="AP26" i="11"/>
  <c r="AQ36" i="11" l="1"/>
  <c r="AQ41" i="11"/>
  <c r="AQ40" i="11"/>
  <c r="AQ51" i="11"/>
  <c r="AQ39" i="11"/>
  <c r="AQ44" i="11"/>
  <c r="AQ38" i="11"/>
  <c r="AQ43" i="11"/>
  <c r="AQ47" i="11"/>
  <c r="AQ55" i="11"/>
  <c r="AQ37" i="11"/>
  <c r="AQ52" i="11"/>
  <c r="AQ50" i="11"/>
  <c r="AQ54" i="11"/>
  <c r="AQ53" i="11"/>
  <c r="AQ48" i="11"/>
  <c r="AQ46" i="11"/>
  <c r="AQ49" i="11"/>
  <c r="AQ58" i="11"/>
  <c r="AQ45" i="11"/>
  <c r="AQ57" i="11"/>
  <c r="AQ56" i="11"/>
  <c r="AQ42" i="11"/>
  <c r="AQ35" i="11"/>
  <c r="AQ34" i="11"/>
  <c r="AQ33" i="11"/>
  <c r="AQ32" i="11"/>
  <c r="AQ31" i="11"/>
  <c r="AQ17" i="11"/>
  <c r="AQ20" i="11"/>
  <c r="AQ23" i="11"/>
  <c r="AQ18" i="11"/>
  <c r="AQ22" i="11"/>
  <c r="AQ24" i="11"/>
  <c r="AQ21" i="11"/>
  <c r="AQ19" i="11"/>
  <c r="AQ16" i="11"/>
  <c r="AQ15" i="11"/>
  <c r="AQ10" i="11"/>
  <c r="AQ14" i="11"/>
  <c r="AQ30" i="11"/>
  <c r="AQ12" i="11"/>
  <c r="AQ13" i="11"/>
  <c r="AQ11" i="11"/>
  <c r="AQ26" i="11"/>
  <c r="AQ7" i="11"/>
  <c r="AQ25" i="11"/>
  <c r="AQ28" i="11"/>
  <c r="AQ4" i="11"/>
  <c r="AQ29" i="11"/>
  <c r="AQ9" i="11"/>
  <c r="AQ27" i="11"/>
  <c r="AR5" i="11"/>
  <c r="AR42" i="11" l="1"/>
  <c r="AR36" i="11"/>
  <c r="AR41" i="11"/>
  <c r="AR46" i="11"/>
  <c r="AR39" i="11"/>
  <c r="AR44" i="11"/>
  <c r="AR38" i="11"/>
  <c r="AR49" i="11"/>
  <c r="AR43" i="11"/>
  <c r="AR47" i="11"/>
  <c r="AR55" i="11"/>
  <c r="AR37" i="11"/>
  <c r="AR40" i="11"/>
  <c r="AR52" i="11"/>
  <c r="AR50" i="11"/>
  <c r="AR45" i="11"/>
  <c r="AR51" i="11"/>
  <c r="AR56" i="11"/>
  <c r="AR54" i="11"/>
  <c r="AR58" i="11"/>
  <c r="AR48" i="11"/>
  <c r="AR53" i="11"/>
  <c r="AR57" i="11"/>
  <c r="AR35" i="11"/>
  <c r="AR33" i="11"/>
  <c r="AR34" i="11"/>
  <c r="AR32" i="11"/>
  <c r="AR31" i="11"/>
  <c r="AR17" i="11"/>
  <c r="AR18" i="11"/>
  <c r="AR20" i="11"/>
  <c r="AR23" i="11"/>
  <c r="AR19" i="11"/>
  <c r="AR22" i="11"/>
  <c r="AR21" i="11"/>
  <c r="AR24" i="11"/>
  <c r="AR16" i="11"/>
  <c r="AR15" i="11"/>
  <c r="AR25" i="11"/>
  <c r="AR14" i="11"/>
  <c r="AR26" i="11"/>
  <c r="AS5" i="11"/>
  <c r="AR13" i="11"/>
  <c r="AR12" i="11"/>
  <c r="AR27" i="11"/>
  <c r="AR10" i="11"/>
  <c r="AR7" i="11"/>
  <c r="AR28" i="11"/>
  <c r="AR30" i="11"/>
  <c r="AR11" i="11"/>
  <c r="AR9" i="11"/>
  <c r="AR29" i="11"/>
  <c r="AS37" i="11" l="1"/>
  <c r="AS36" i="11"/>
  <c r="AS41" i="11"/>
  <c r="AS52" i="11"/>
  <c r="AS40" i="11"/>
  <c r="AS45" i="11"/>
  <c r="AS39" i="11"/>
  <c r="AS44" i="11"/>
  <c r="AS46" i="11"/>
  <c r="AS48" i="11"/>
  <c r="AS49" i="11"/>
  <c r="AS56" i="11"/>
  <c r="AS38" i="11"/>
  <c r="AS43" i="11"/>
  <c r="AS47" i="11"/>
  <c r="AS50" i="11"/>
  <c r="AS53" i="11"/>
  <c r="AS57" i="11"/>
  <c r="AS58" i="11"/>
  <c r="AS42" i="11"/>
  <c r="AS51" i="11"/>
  <c r="AS54" i="11"/>
  <c r="AS55" i="11"/>
  <c r="AS35" i="11"/>
  <c r="AS34" i="11"/>
  <c r="AS32" i="11"/>
  <c r="AS31" i="11"/>
  <c r="AS33" i="11"/>
  <c r="AS17" i="11"/>
  <c r="AS20" i="11"/>
  <c r="AS23" i="11"/>
  <c r="AS19" i="11"/>
  <c r="AS18" i="11"/>
  <c r="AS21" i="11"/>
  <c r="AS24" i="11"/>
  <c r="AS22" i="11"/>
  <c r="AS15" i="11"/>
  <c r="AS16" i="11"/>
  <c r="AS27" i="11"/>
  <c r="AS14" i="11"/>
  <c r="AT5" i="11"/>
  <c r="AS25" i="11"/>
  <c r="AS12" i="11"/>
  <c r="AS13" i="11"/>
  <c r="AS11" i="11"/>
  <c r="AS30" i="11"/>
  <c r="AS9" i="11"/>
  <c r="AS26" i="11"/>
  <c r="AS28" i="11"/>
  <c r="AS7" i="11"/>
  <c r="AS29" i="11"/>
  <c r="AS10" i="11"/>
  <c r="AT43" i="11" l="1"/>
  <c r="AT37" i="11"/>
  <c r="AT42" i="11"/>
  <c r="AT36" i="11"/>
  <c r="AT41" i="11"/>
  <c r="AT40" i="11"/>
  <c r="AT45" i="11"/>
  <c r="AT39" i="11"/>
  <c r="AT44" i="11"/>
  <c r="AT51" i="11"/>
  <c r="AT46" i="11"/>
  <c r="AT48" i="11"/>
  <c r="AT49" i="11"/>
  <c r="AT56" i="11"/>
  <c r="AT38" i="11"/>
  <c r="AT47" i="11"/>
  <c r="AT52" i="11"/>
  <c r="AT55" i="11"/>
  <c r="AT50" i="11"/>
  <c r="AT53" i="11"/>
  <c r="AT58" i="11"/>
  <c r="AT54" i="11"/>
  <c r="AT57" i="11"/>
  <c r="AT35" i="11"/>
  <c r="AT31" i="11"/>
  <c r="AT34" i="11"/>
  <c r="AT32" i="11"/>
  <c r="AT33" i="11"/>
  <c r="AT18" i="11"/>
  <c r="AT21" i="11"/>
  <c r="AT24" i="11"/>
  <c r="AT20" i="11"/>
  <c r="AT19" i="11"/>
  <c r="AT23" i="11"/>
  <c r="AT22" i="11"/>
  <c r="AT10" i="11"/>
  <c r="AT17" i="11"/>
  <c r="AT16" i="11"/>
  <c r="AT15" i="11"/>
  <c r="AT14" i="11"/>
  <c r="AT9" i="11"/>
  <c r="AT27" i="11"/>
  <c r="AT25" i="11"/>
  <c r="AT26" i="11"/>
  <c r="AT12" i="11"/>
  <c r="AT30" i="11"/>
  <c r="AT7" i="11"/>
  <c r="AT29" i="11"/>
  <c r="AT11" i="11"/>
  <c r="AT13" i="11"/>
  <c r="AT28" i="11"/>
  <c r="AU5" i="11"/>
  <c r="AU38" i="11" l="1"/>
  <c r="AU37" i="11"/>
  <c r="AU36" i="11"/>
  <c r="AU47" i="11"/>
  <c r="AU46" i="11"/>
  <c r="AU40" i="11"/>
  <c r="AU45" i="11"/>
  <c r="AU44" i="11"/>
  <c r="AU51" i="11"/>
  <c r="AU39" i="11"/>
  <c r="AU48" i="11"/>
  <c r="AU43" i="11"/>
  <c r="AU49" i="11"/>
  <c r="AU56" i="11"/>
  <c r="AU41" i="11"/>
  <c r="AU42" i="11"/>
  <c r="AU57" i="11"/>
  <c r="AU52" i="11"/>
  <c r="AU50" i="11"/>
  <c r="AU58" i="11"/>
  <c r="AU54" i="11"/>
  <c r="AU55" i="11"/>
  <c r="AU53" i="11"/>
  <c r="AU35" i="11"/>
  <c r="AU31" i="11"/>
  <c r="AU34" i="11"/>
  <c r="AU33" i="11"/>
  <c r="AU32" i="11"/>
  <c r="AU17" i="11"/>
  <c r="AU18" i="11"/>
  <c r="AU21" i="11"/>
  <c r="AU24" i="11"/>
  <c r="AU19" i="11"/>
  <c r="AU22" i="11"/>
  <c r="AU20" i="11"/>
  <c r="AU23" i="11"/>
  <c r="AU16" i="11"/>
  <c r="AU15" i="11"/>
  <c r="AU25" i="11"/>
  <c r="AU14" i="11"/>
  <c r="AU11" i="11"/>
  <c r="AU10" i="11"/>
  <c r="AU30" i="11"/>
  <c r="AU9" i="11"/>
  <c r="AU28" i="11"/>
  <c r="AU12" i="11"/>
  <c r="AU7" i="11"/>
  <c r="AU13" i="11"/>
  <c r="AU26" i="11"/>
  <c r="AU29" i="11"/>
  <c r="AV5" i="11"/>
  <c r="AU27" i="11"/>
  <c r="AV44" i="11" l="1"/>
  <c r="AV38" i="11"/>
  <c r="AV37" i="11"/>
  <c r="AV42" i="11"/>
  <c r="AV36" i="11"/>
  <c r="AV46" i="11"/>
  <c r="AV40" i="11"/>
  <c r="AV57" i="11"/>
  <c r="AV51" i="11"/>
  <c r="AV39" i="11"/>
  <c r="AV48" i="11"/>
  <c r="AV43" i="11"/>
  <c r="AV47" i="11"/>
  <c r="AV49" i="11"/>
  <c r="AV52" i="11"/>
  <c r="AV53" i="11"/>
  <c r="AV45" i="11"/>
  <c r="AV50" i="11"/>
  <c r="AV41" i="11"/>
  <c r="AV58" i="11"/>
  <c r="AV54" i="11"/>
  <c r="AV55" i="11"/>
  <c r="AV56" i="11"/>
  <c r="AV35" i="11"/>
  <c r="AV31" i="11"/>
  <c r="AV33" i="11"/>
  <c r="AV32" i="11"/>
  <c r="AV34" i="11"/>
  <c r="AV17" i="11"/>
  <c r="AV18" i="11"/>
  <c r="AV21" i="11"/>
  <c r="AV24" i="11"/>
  <c r="AV22" i="11"/>
  <c r="AV19" i="11"/>
  <c r="AV20" i="11"/>
  <c r="AV23" i="11"/>
  <c r="AV15" i="11"/>
  <c r="AV16" i="11"/>
  <c r="AV14" i="11"/>
  <c r="AV12" i="11"/>
  <c r="AV26" i="11"/>
  <c r="AV27" i="11"/>
  <c r="AV30" i="11"/>
  <c r="AV10" i="11"/>
  <c r="AV9" i="11"/>
  <c r="AV7" i="11"/>
  <c r="AV11" i="11"/>
  <c r="AV13" i="11"/>
  <c r="AW5" i="11"/>
  <c r="AV28" i="11"/>
  <c r="AV29" i="11"/>
  <c r="AV25" i="11"/>
  <c r="AW39" i="11" l="1"/>
  <c r="AW38" i="11"/>
  <c r="AW37" i="11"/>
  <c r="AW48" i="11"/>
  <c r="AW36" i="11"/>
  <c r="AW41" i="11"/>
  <c r="AW46" i="11"/>
  <c r="AW45" i="11"/>
  <c r="AW53" i="11"/>
  <c r="AW44" i="11"/>
  <c r="AW51" i="11"/>
  <c r="AW40" i="11"/>
  <c r="AW43" i="11"/>
  <c r="AW47" i="11"/>
  <c r="AW49" i="11"/>
  <c r="AW56" i="11"/>
  <c r="AW50" i="11"/>
  <c r="AW55" i="11"/>
  <c r="AW42" i="11"/>
  <c r="AW52" i="11"/>
  <c r="AW58" i="11"/>
  <c r="AW57" i="11"/>
  <c r="AW54" i="11"/>
  <c r="AW35" i="11"/>
  <c r="AW32" i="11"/>
  <c r="AW31" i="11"/>
  <c r="AW33" i="11"/>
  <c r="AW34" i="11"/>
  <c r="AW17" i="11"/>
  <c r="AW18" i="11"/>
  <c r="AW21" i="11"/>
  <c r="AW24" i="11"/>
  <c r="AW19" i="11"/>
  <c r="AW22" i="11"/>
  <c r="AW20" i="11"/>
  <c r="AW23" i="11"/>
  <c r="AW15" i="11"/>
  <c r="AW16" i="11"/>
  <c r="AW27" i="11"/>
  <c r="AW14" i="11"/>
  <c r="AW7" i="11"/>
  <c r="AW25" i="11"/>
  <c r="AW11" i="11"/>
  <c r="AW12" i="11"/>
  <c r="AW10" i="11"/>
  <c r="AW9" i="11"/>
  <c r="AW26" i="11"/>
  <c r="AW28" i="11"/>
  <c r="AW13" i="11"/>
  <c r="AW29" i="11"/>
  <c r="AX5" i="11"/>
  <c r="AW30" i="11"/>
  <c r="AX45" i="11" l="1"/>
  <c r="AX39" i="11"/>
  <c r="AX38" i="11"/>
  <c r="AX43" i="11"/>
  <c r="AX37" i="11"/>
  <c r="AX36" i="11"/>
  <c r="AX47" i="11"/>
  <c r="AX41" i="11"/>
  <c r="AX42" i="11"/>
  <c r="AX53" i="11"/>
  <c r="AX46" i="11"/>
  <c r="AX44" i="11"/>
  <c r="AX48" i="11"/>
  <c r="AX51" i="11"/>
  <c r="AX40" i="11"/>
  <c r="AX49" i="11"/>
  <c r="AX54" i="11"/>
  <c r="AX55" i="11"/>
  <c r="AX52" i="11"/>
  <c r="AX50" i="11"/>
  <c r="AX56" i="11"/>
  <c r="AX58" i="11"/>
  <c r="AX57" i="11"/>
  <c r="AX35" i="11"/>
  <c r="AX32" i="11"/>
  <c r="AX31" i="11"/>
  <c r="AX33" i="11"/>
  <c r="AX34" i="11"/>
  <c r="AX17" i="11"/>
  <c r="AX19" i="11"/>
  <c r="AX22" i="11"/>
  <c r="AX18" i="11"/>
  <c r="AX23" i="11"/>
  <c r="AX24" i="11"/>
  <c r="AX21" i="11"/>
  <c r="AX20" i="11"/>
  <c r="AX15" i="11"/>
  <c r="AX16" i="11"/>
  <c r="AX7" i="11"/>
  <c r="AX14" i="11"/>
  <c r="AX30" i="11"/>
  <c r="AX28" i="11"/>
  <c r="AX27" i="11"/>
  <c r="AX29" i="11"/>
  <c r="AX9" i="11"/>
  <c r="AX25" i="11"/>
  <c r="AX13" i="11"/>
  <c r="AX10" i="11"/>
  <c r="AX12" i="11"/>
  <c r="AX11" i="11"/>
  <c r="AX4" i="11"/>
  <c r="AX26" i="11"/>
  <c r="AY5" i="11"/>
  <c r="AY40" i="11" l="1"/>
  <c r="AY39" i="11"/>
  <c r="AY38" i="11"/>
  <c r="AY49" i="11"/>
  <c r="AY37" i="11"/>
  <c r="AY42" i="11"/>
  <c r="AY36" i="11"/>
  <c r="AY47" i="11"/>
  <c r="AY41" i="11"/>
  <c r="AY50" i="11"/>
  <c r="AY45" i="11"/>
  <c r="AY54" i="11"/>
  <c r="AY58" i="11"/>
  <c r="AY46" i="11"/>
  <c r="AY53" i="11"/>
  <c r="AY44" i="11"/>
  <c r="AY48" i="11"/>
  <c r="AY51" i="11"/>
  <c r="AY43" i="11"/>
  <c r="AY52" i="11"/>
  <c r="AY55" i="11"/>
  <c r="AY56" i="11"/>
  <c r="AY57" i="11"/>
  <c r="AY35" i="11"/>
  <c r="AY32" i="11"/>
  <c r="AY34" i="11"/>
  <c r="AY33" i="11"/>
  <c r="AY31" i="11"/>
  <c r="AY17" i="11"/>
  <c r="AY19" i="11"/>
  <c r="AY22" i="11"/>
  <c r="AY23" i="11"/>
  <c r="AY24" i="11"/>
  <c r="AY18" i="11"/>
  <c r="AY20" i="11"/>
  <c r="AY21" i="11"/>
  <c r="AY15" i="11"/>
  <c r="AY16" i="11"/>
  <c r="AY14" i="11"/>
  <c r="AY25" i="11"/>
  <c r="AY30" i="11"/>
  <c r="AY29" i="11"/>
  <c r="AY7" i="11"/>
  <c r="AY10" i="11"/>
  <c r="AY12" i="11"/>
  <c r="AY13" i="11"/>
  <c r="AY28" i="11"/>
  <c r="AY9" i="11"/>
  <c r="AY26" i="11"/>
  <c r="AY27" i="11"/>
  <c r="AY11" i="11"/>
  <c r="AZ5" i="11"/>
  <c r="AZ40" i="11" l="1"/>
  <c r="AZ39" i="11"/>
  <c r="AZ44" i="11"/>
  <c r="AZ38" i="11"/>
  <c r="AZ37" i="11"/>
  <c r="AZ48" i="11"/>
  <c r="AZ42" i="11"/>
  <c r="AZ36" i="11"/>
  <c r="AZ47" i="11"/>
  <c r="AZ41" i="11"/>
  <c r="AZ50" i="11"/>
  <c r="AZ54" i="11"/>
  <c r="AZ45" i="11"/>
  <c r="AZ46" i="11"/>
  <c r="AZ53" i="11"/>
  <c r="AZ51" i="11"/>
  <c r="AZ43" i="11"/>
  <c r="AZ49" i="11"/>
  <c r="AZ55" i="11"/>
  <c r="AZ56" i="11"/>
  <c r="AZ52" i="11"/>
  <c r="AZ57" i="11"/>
  <c r="AZ58" i="11"/>
  <c r="AZ35" i="11"/>
  <c r="AZ33" i="11"/>
  <c r="AZ32" i="11"/>
  <c r="AZ34" i="11"/>
  <c r="AZ31" i="11"/>
  <c r="AZ17" i="11"/>
  <c r="AZ19" i="11"/>
  <c r="AZ22" i="11"/>
  <c r="AZ18" i="11"/>
  <c r="AZ24" i="11"/>
  <c r="AZ23" i="11"/>
  <c r="AZ20" i="11"/>
  <c r="AZ21" i="11"/>
  <c r="AZ16" i="11"/>
  <c r="AZ15" i="11"/>
  <c r="AZ14" i="11"/>
  <c r="AZ27" i="11"/>
  <c r="AZ30" i="11"/>
  <c r="AZ10" i="11"/>
  <c r="AZ29" i="11"/>
  <c r="AZ7" i="11"/>
  <c r="AZ25" i="11"/>
  <c r="AZ26" i="11"/>
  <c r="AZ12" i="11"/>
  <c r="AZ11" i="11"/>
  <c r="AZ9" i="11"/>
  <c r="AZ28" i="11"/>
  <c r="AZ13" i="11"/>
  <c r="BA5" i="11"/>
  <c r="BA40" i="11" l="1"/>
  <c r="BA39" i="11"/>
  <c r="BA50" i="11"/>
  <c r="BA38" i="11"/>
  <c r="BA43" i="11"/>
  <c r="BA37" i="11"/>
  <c r="BA42" i="11"/>
  <c r="BA41" i="11"/>
  <c r="BA45" i="11"/>
  <c r="BA54" i="11"/>
  <c r="BA44" i="11"/>
  <c r="BA46" i="11"/>
  <c r="BA53" i="11"/>
  <c r="BA47" i="11"/>
  <c r="BA48" i="11"/>
  <c r="BA36" i="11"/>
  <c r="BA51" i="11"/>
  <c r="BA55" i="11"/>
  <c r="BA56" i="11"/>
  <c r="BA52" i="11"/>
  <c r="BA57" i="11"/>
  <c r="BA58" i="11"/>
  <c r="BA49" i="11"/>
  <c r="BA35" i="11"/>
  <c r="BA33" i="11"/>
  <c r="BA32" i="11"/>
  <c r="BA34" i="11"/>
  <c r="BA31" i="11"/>
  <c r="BA17" i="11"/>
  <c r="BA19" i="11"/>
  <c r="BA22" i="11"/>
  <c r="BA20" i="11"/>
  <c r="BA18" i="11"/>
  <c r="BA23" i="11"/>
  <c r="BA24" i="11"/>
  <c r="BA21" i="11"/>
  <c r="BA16" i="11"/>
  <c r="BA15" i="11"/>
  <c r="BA14" i="11"/>
  <c r="BA10" i="11"/>
  <c r="BA26" i="11"/>
  <c r="BA11" i="11"/>
  <c r="BA12" i="11"/>
  <c r="BA7" i="11"/>
  <c r="BA28" i="11"/>
  <c r="BA13" i="11"/>
  <c r="BA30" i="11"/>
  <c r="BB5" i="11"/>
  <c r="BA27" i="11"/>
  <c r="BA25" i="11"/>
  <c r="BA29" i="11"/>
  <c r="BA9" i="11"/>
  <c r="BB41" i="11" l="1"/>
  <c r="BB40" i="11"/>
  <c r="BB45" i="11"/>
  <c r="BB38" i="11"/>
  <c r="BB43" i="11"/>
  <c r="BB37" i="11"/>
  <c r="BB42" i="11"/>
  <c r="BB52" i="11"/>
  <c r="BB55" i="11"/>
  <c r="BB50" i="11"/>
  <c r="BB39" i="11"/>
  <c r="BB44" i="11"/>
  <c r="BB46" i="11"/>
  <c r="BB47" i="11"/>
  <c r="BB48" i="11"/>
  <c r="BB36" i="11"/>
  <c r="BB58" i="11"/>
  <c r="BB49" i="11"/>
  <c r="BB53" i="11"/>
  <c r="BB56" i="11"/>
  <c r="BB57" i="11"/>
  <c r="BB51" i="11"/>
  <c r="BB54" i="11"/>
  <c r="BB35" i="11"/>
  <c r="BB33" i="11"/>
  <c r="BB34" i="11"/>
  <c r="BB32" i="11"/>
  <c r="BB31" i="11"/>
  <c r="BB17" i="11"/>
  <c r="BB20" i="11"/>
  <c r="BB23" i="11"/>
  <c r="BB19" i="11"/>
  <c r="BB21" i="11"/>
  <c r="BB22" i="11"/>
  <c r="BB24" i="11"/>
  <c r="BB18" i="11"/>
  <c r="BB15" i="11"/>
  <c r="BB16" i="11"/>
  <c r="BB29" i="11"/>
  <c r="BB14" i="11"/>
  <c r="BB9" i="11"/>
  <c r="BB11" i="11"/>
  <c r="BB7" i="11"/>
  <c r="BB27" i="11"/>
  <c r="BB10" i="11"/>
  <c r="BB12" i="11"/>
  <c r="BB13" i="11"/>
  <c r="BB28" i="11"/>
  <c r="BB26" i="11"/>
  <c r="BB25" i="11"/>
  <c r="BC5" i="11"/>
  <c r="BB30" i="11"/>
  <c r="BC36" i="11" l="1"/>
  <c r="BC41" i="11"/>
  <c r="BC40" i="11"/>
  <c r="BC51" i="11"/>
  <c r="BC39" i="11"/>
  <c r="BC44" i="11"/>
  <c r="BC38" i="11"/>
  <c r="BC43" i="11"/>
  <c r="BC55" i="11"/>
  <c r="BC42" i="11"/>
  <c r="BC52" i="11"/>
  <c r="BC50" i="11"/>
  <c r="BC45" i="11"/>
  <c r="BC37" i="11"/>
  <c r="BC54" i="11"/>
  <c r="BC46" i="11"/>
  <c r="BC53" i="11"/>
  <c r="BC49" i="11"/>
  <c r="BC48" i="11"/>
  <c r="BC57" i="11"/>
  <c r="BC56" i="11"/>
  <c r="BC47" i="11"/>
  <c r="BC58" i="11"/>
  <c r="BC35" i="11"/>
  <c r="BC34" i="11"/>
  <c r="BC33" i="11"/>
  <c r="BC32" i="11"/>
  <c r="BC31" i="11"/>
  <c r="BC17" i="11"/>
  <c r="BC20" i="11"/>
  <c r="BC23" i="11"/>
  <c r="BC21" i="11"/>
  <c r="BC22" i="11"/>
  <c r="BC19" i="11"/>
  <c r="BC24" i="11"/>
  <c r="BC18" i="11"/>
  <c r="BC16" i="11"/>
  <c r="BC15" i="11"/>
  <c r="BC14" i="11"/>
  <c r="BC11" i="11"/>
  <c r="BC9" i="11"/>
  <c r="BC29" i="11"/>
  <c r="BC25" i="11"/>
  <c r="BC13" i="11"/>
  <c r="BC28" i="11"/>
  <c r="BC27" i="11"/>
  <c r="BC12" i="11"/>
  <c r="BC7" i="11"/>
  <c r="BC26" i="11"/>
  <c r="BC30" i="11"/>
  <c r="BC10" i="11"/>
  <c r="BD5" i="11"/>
  <c r="BD42" i="11" l="1"/>
  <c r="BD36" i="11"/>
  <c r="BD41" i="11"/>
  <c r="BD46" i="11"/>
  <c r="BD39" i="11"/>
  <c r="BD44" i="11"/>
  <c r="BD38" i="11"/>
  <c r="BD52" i="11"/>
  <c r="BD55" i="11"/>
  <c r="BD50" i="11"/>
  <c r="BD45" i="11"/>
  <c r="BD37" i="11"/>
  <c r="BD40" i="11"/>
  <c r="BD48" i="11"/>
  <c r="BD58" i="11"/>
  <c r="BD54" i="11"/>
  <c r="BD49" i="11"/>
  <c r="BD53" i="11"/>
  <c r="BD51" i="11"/>
  <c r="BD56" i="11"/>
  <c r="BD43" i="11"/>
  <c r="BD57" i="11"/>
  <c r="BD47" i="11"/>
  <c r="BD35" i="11"/>
  <c r="BD34" i="11"/>
  <c r="BD33" i="11"/>
  <c r="BD31" i="11"/>
  <c r="BD32" i="11"/>
  <c r="BD17" i="11"/>
  <c r="BD18" i="11"/>
  <c r="BD20" i="11"/>
  <c r="BD23" i="11"/>
  <c r="BD19" i="11"/>
  <c r="BD21" i="11"/>
  <c r="BD22" i="11"/>
  <c r="BD24" i="11"/>
  <c r="BD16" i="11"/>
  <c r="BD15" i="11"/>
  <c r="BD9" i="11"/>
  <c r="BD14" i="11"/>
  <c r="BD12" i="11"/>
  <c r="BD30" i="11"/>
  <c r="BD27" i="11"/>
  <c r="BD7" i="11"/>
  <c r="BD29" i="11"/>
  <c r="BD26" i="11"/>
  <c r="BD11" i="11"/>
  <c r="BD13" i="11"/>
  <c r="BD28" i="11"/>
  <c r="BD10" i="11"/>
  <c r="BE5" i="11"/>
  <c r="BD25" i="11"/>
  <c r="BE37" i="11" l="1"/>
  <c r="BE36" i="11"/>
  <c r="BE41" i="11"/>
  <c r="BE52" i="11"/>
  <c r="BE40" i="11"/>
  <c r="BE45" i="11"/>
  <c r="BE39" i="11"/>
  <c r="BE44" i="11"/>
  <c r="BE49" i="11"/>
  <c r="BE56" i="11"/>
  <c r="BE42" i="11"/>
  <c r="BE38" i="11"/>
  <c r="BE50" i="11"/>
  <c r="BE47" i="11"/>
  <c r="BE48" i="11"/>
  <c r="BE51" i="11"/>
  <c r="BE46" i="11"/>
  <c r="BE54" i="11"/>
  <c r="BE53" i="11"/>
  <c r="BE55" i="11"/>
  <c r="BE58" i="11"/>
  <c r="BE43" i="11"/>
  <c r="BE57" i="11"/>
  <c r="BE35" i="11"/>
  <c r="BE34" i="11"/>
  <c r="BE32" i="11"/>
  <c r="BE31" i="11"/>
  <c r="BE33" i="11"/>
  <c r="BE17" i="11"/>
  <c r="BE20" i="11"/>
  <c r="BE23" i="11"/>
  <c r="BE18" i="11"/>
  <c r="BE21" i="11"/>
  <c r="BE22" i="11"/>
  <c r="BE19" i="11"/>
  <c r="BE24" i="11"/>
  <c r="BE16" i="11"/>
  <c r="BE15" i="11"/>
  <c r="BE14" i="11"/>
  <c r="BE11" i="11"/>
  <c r="BE29" i="11"/>
  <c r="BE28" i="11"/>
  <c r="BE26" i="11"/>
  <c r="BE7" i="11"/>
  <c r="BE9" i="11"/>
  <c r="BE10" i="11"/>
  <c r="BF5" i="11"/>
  <c r="BE27" i="11"/>
  <c r="BE13" i="11"/>
  <c r="BE25" i="11"/>
  <c r="BE4" i="11"/>
  <c r="BE12" i="11"/>
  <c r="BE30" i="11"/>
  <c r="BF43" i="11" l="1"/>
  <c r="BF37" i="11"/>
  <c r="BF42" i="11"/>
  <c r="BF36" i="11"/>
  <c r="BF41" i="11"/>
  <c r="BF40" i="11"/>
  <c r="BF45" i="11"/>
  <c r="BF39" i="11"/>
  <c r="BF49" i="11"/>
  <c r="BF52" i="11"/>
  <c r="BF38" i="11"/>
  <c r="BF55" i="11"/>
  <c r="BF50" i="11"/>
  <c r="BF44" i="11"/>
  <c r="BF53" i="11"/>
  <c r="BF47" i="11"/>
  <c r="BF57" i="11"/>
  <c r="BF58" i="11"/>
  <c r="BF46" i="11"/>
  <c r="BF48" i="11"/>
  <c r="BF54" i="11"/>
  <c r="BF56" i="11"/>
  <c r="BF51" i="11"/>
  <c r="BF35" i="11"/>
  <c r="BF31" i="11"/>
  <c r="BF34" i="11"/>
  <c r="BF33" i="11"/>
  <c r="BF32" i="11"/>
  <c r="BF17" i="11"/>
  <c r="BF18" i="11"/>
  <c r="BF21" i="11"/>
  <c r="BF24" i="11"/>
  <c r="BF20" i="11"/>
  <c r="BF23" i="11"/>
  <c r="BF22" i="11"/>
  <c r="BF19" i="11"/>
  <c r="BF16" i="11"/>
  <c r="BF15" i="11"/>
  <c r="BF10" i="11"/>
  <c r="BF14" i="11"/>
  <c r="BF7" i="11"/>
  <c r="BF25" i="11"/>
  <c r="BF9" i="11"/>
  <c r="BF28" i="11"/>
  <c r="BF30" i="11"/>
  <c r="BF11" i="11"/>
  <c r="BF27" i="11"/>
  <c r="BF26" i="11"/>
  <c r="BF12" i="11"/>
  <c r="BG5" i="11"/>
  <c r="BF13" i="11"/>
  <c r="BF29" i="11"/>
  <c r="BG38" i="11" l="1"/>
  <c r="BG37" i="11"/>
  <c r="BG36" i="11"/>
  <c r="BG47" i="11"/>
  <c r="BG46" i="11"/>
  <c r="BG40" i="11"/>
  <c r="BG45" i="11"/>
  <c r="BG48" i="11"/>
  <c r="BG41" i="11"/>
  <c r="BG49" i="11"/>
  <c r="BG56" i="11"/>
  <c r="BG42" i="11"/>
  <c r="BG39" i="11"/>
  <c r="BG52" i="11"/>
  <c r="BG50" i="11"/>
  <c r="BG43" i="11"/>
  <c r="BG54" i="11"/>
  <c r="BG58" i="11"/>
  <c r="BG55" i="11"/>
  <c r="BG53" i="11"/>
  <c r="BG57" i="11"/>
  <c r="BG44" i="11"/>
  <c r="BG51" i="11"/>
  <c r="BG35" i="11"/>
  <c r="BG31" i="11"/>
  <c r="BG34" i="11"/>
  <c r="BG33" i="11"/>
  <c r="BG32" i="11"/>
  <c r="BG17" i="11"/>
  <c r="BG18" i="11"/>
  <c r="BG21" i="11"/>
  <c r="BG24" i="11"/>
  <c r="BG20" i="11"/>
  <c r="BG22" i="11"/>
  <c r="BG23" i="11"/>
  <c r="BG19" i="11"/>
  <c r="BG15" i="11"/>
  <c r="BG16" i="11"/>
  <c r="BG14" i="11"/>
  <c r="BH5" i="11"/>
  <c r="BG11" i="11"/>
  <c r="BG12" i="11"/>
  <c r="BG27" i="11"/>
  <c r="BG29" i="11"/>
  <c r="BG25" i="11"/>
  <c r="BG9" i="11"/>
  <c r="BG26" i="11"/>
  <c r="BG30" i="11"/>
  <c r="BG13" i="11"/>
  <c r="BG10" i="11"/>
  <c r="BG28" i="11"/>
  <c r="BG7" i="11"/>
  <c r="BH44" i="11" l="1"/>
  <c r="BH38" i="11"/>
  <c r="BH37" i="11"/>
  <c r="BH42" i="11"/>
  <c r="BH36" i="11"/>
  <c r="BH46" i="11"/>
  <c r="BH40" i="11"/>
  <c r="BH47" i="11"/>
  <c r="BH48" i="11"/>
  <c r="BH51" i="11"/>
  <c r="BH57" i="11"/>
  <c r="BH41" i="11"/>
  <c r="BH49" i="11"/>
  <c r="BH39" i="11"/>
  <c r="BH45" i="11"/>
  <c r="BH43" i="11"/>
  <c r="BH54" i="11"/>
  <c r="BH50" i="11"/>
  <c r="BH58" i="11"/>
  <c r="BH52" i="11"/>
  <c r="BH53" i="11"/>
  <c r="BH55" i="11"/>
  <c r="BH56" i="11"/>
  <c r="BH35" i="11"/>
  <c r="BH31" i="11"/>
  <c r="BH33" i="11"/>
  <c r="BH32" i="11"/>
  <c r="BH34" i="11"/>
  <c r="BH17" i="11"/>
  <c r="BH24" i="11"/>
  <c r="BH18" i="11"/>
  <c r="BH21" i="11"/>
  <c r="BH20" i="11"/>
  <c r="BH23" i="11"/>
  <c r="BH22" i="11"/>
  <c r="BH19" i="11"/>
  <c r="BH15" i="11"/>
  <c r="BH16" i="11"/>
  <c r="BH14" i="11"/>
  <c r="BH7" i="11"/>
  <c r="BH28" i="11"/>
  <c r="BH13" i="11"/>
  <c r="BH30" i="11"/>
  <c r="BH29" i="11"/>
  <c r="BH12" i="11"/>
  <c r="BH26" i="11"/>
  <c r="BH10" i="11"/>
  <c r="BH11" i="11"/>
  <c r="BI5" i="11"/>
  <c r="BH27" i="11"/>
  <c r="BH25" i="11"/>
  <c r="BH9" i="11"/>
  <c r="BI39" i="11" l="1"/>
  <c r="BI38" i="11"/>
  <c r="BI37" i="11"/>
  <c r="BI48" i="11"/>
  <c r="BI36" i="11"/>
  <c r="BI41" i="11"/>
  <c r="BI46" i="11"/>
  <c r="BI43" i="11"/>
  <c r="BI47" i="11"/>
  <c r="BI53" i="11"/>
  <c r="BI51" i="11"/>
  <c r="BI49" i="11"/>
  <c r="BI42" i="11"/>
  <c r="BI45" i="11"/>
  <c r="BI52" i="11"/>
  <c r="BI40" i="11"/>
  <c r="BI55" i="11"/>
  <c r="BI50" i="11"/>
  <c r="BI54" i="11"/>
  <c r="BI58" i="11"/>
  <c r="BI44" i="11"/>
  <c r="BI57" i="11"/>
  <c r="BI56" i="11"/>
  <c r="BI35" i="11"/>
  <c r="BI32" i="11"/>
  <c r="BI31" i="11"/>
  <c r="BI34" i="11"/>
  <c r="BI33" i="11"/>
  <c r="BI21" i="11"/>
  <c r="BI18" i="11"/>
  <c r="BI24" i="11"/>
  <c r="BI19" i="11"/>
  <c r="BI20" i="11"/>
  <c r="BI23" i="11"/>
  <c r="BI22" i="11"/>
  <c r="BI12" i="11"/>
  <c r="BI17" i="11"/>
  <c r="BI15" i="11"/>
  <c r="BI16" i="11"/>
  <c r="BI14" i="11"/>
  <c r="BI10" i="11"/>
  <c r="BI27" i="11"/>
  <c r="BI29" i="11"/>
  <c r="BI11" i="11"/>
  <c r="BI7" i="11"/>
  <c r="BI9" i="11"/>
  <c r="BJ5" i="11"/>
  <c r="BI25" i="11"/>
  <c r="BI28" i="11"/>
  <c r="BI13" i="11"/>
  <c r="BI26" i="11"/>
  <c r="BI30" i="11"/>
  <c r="BJ39" i="11" l="1"/>
  <c r="BJ38" i="11"/>
  <c r="BJ43" i="11"/>
  <c r="BJ37" i="11"/>
  <c r="BJ36" i="11"/>
  <c r="BJ47" i="11"/>
  <c r="BJ41" i="11"/>
  <c r="BJ48" i="11"/>
  <c r="BJ53" i="11"/>
  <c r="BJ51" i="11"/>
  <c r="BJ49" i="11"/>
  <c r="BJ42" i="11"/>
  <c r="BJ44" i="11"/>
  <c r="BJ46" i="11"/>
  <c r="BJ50" i="11"/>
  <c r="BJ56" i="11"/>
  <c r="BJ40" i="11"/>
  <c r="BJ57" i="11"/>
  <c r="BJ45" i="11"/>
  <c r="BJ54" i="11"/>
  <c r="BJ58" i="11"/>
  <c r="BJ55" i="11"/>
  <c r="BJ52" i="11"/>
  <c r="BJ35" i="11"/>
  <c r="BJ32" i="11"/>
  <c r="BJ31" i="11"/>
  <c r="BJ34" i="11"/>
  <c r="BJ33" i="11"/>
  <c r="BJ17" i="11"/>
  <c r="BJ19" i="11"/>
  <c r="BJ22" i="11"/>
  <c r="BJ18" i="11"/>
  <c r="BJ24" i="11"/>
  <c r="BJ23" i="11"/>
  <c r="BJ20" i="11"/>
  <c r="BJ21" i="11"/>
  <c r="BJ16" i="11"/>
  <c r="BJ15" i="11"/>
  <c r="BJ27" i="11"/>
  <c r="BJ14" i="11"/>
  <c r="BJ26" i="11"/>
  <c r="BJ28" i="11"/>
  <c r="BJ10" i="11"/>
  <c r="BJ13" i="11"/>
  <c r="BJ9" i="11"/>
  <c r="BJ30" i="11"/>
  <c r="BJ25" i="11"/>
  <c r="BK5" i="11"/>
  <c r="BJ11" i="11"/>
  <c r="BJ29" i="11"/>
  <c r="BJ7" i="11"/>
  <c r="BJ12" i="11"/>
  <c r="BK40" i="11" l="1"/>
  <c r="BK39" i="11"/>
  <c r="BK38" i="11"/>
  <c r="BK49" i="11"/>
  <c r="BK37" i="11"/>
  <c r="BK42" i="11"/>
  <c r="BK36" i="11"/>
  <c r="BK41" i="11"/>
  <c r="BK43" i="11"/>
  <c r="BK54" i="11"/>
  <c r="BK58" i="11"/>
  <c r="BK47" i="11"/>
  <c r="BK48" i="11"/>
  <c r="BK53" i="11"/>
  <c r="BK51" i="11"/>
  <c r="BK46" i="11"/>
  <c r="BK45" i="11"/>
  <c r="BK44" i="11"/>
  <c r="BK52" i="11"/>
  <c r="BK57" i="11"/>
  <c r="BK50" i="11"/>
  <c r="BK56" i="11"/>
  <c r="BK55" i="11"/>
  <c r="BK35" i="11"/>
  <c r="BK32" i="11"/>
  <c r="BK31" i="11"/>
  <c r="BK34" i="11"/>
  <c r="BK33" i="11"/>
  <c r="BK17" i="11"/>
  <c r="BK19" i="11"/>
  <c r="BK22" i="11"/>
  <c r="BK23" i="11"/>
  <c r="BK21" i="11"/>
  <c r="BK24" i="11"/>
  <c r="BK20" i="11"/>
  <c r="BK18" i="11"/>
  <c r="BK15" i="11"/>
  <c r="BK16" i="11"/>
  <c r="BK14" i="11"/>
  <c r="BK25" i="11"/>
  <c r="BK28" i="11"/>
  <c r="BK30" i="11"/>
  <c r="BK9" i="11"/>
  <c r="BK11" i="11"/>
  <c r="BK29" i="11"/>
  <c r="BK12" i="11"/>
  <c r="BK13" i="11"/>
  <c r="BK26" i="11"/>
  <c r="BK10" i="11"/>
  <c r="BK27" i="11"/>
  <c r="BK7" i="11"/>
</calcChain>
</file>

<file path=xl/sharedStrings.xml><?xml version="1.0" encoding="utf-8"?>
<sst xmlns="http://schemas.openxmlformats.org/spreadsheetml/2006/main" count="120" uniqueCount="71">
  <si>
    <t>Cree un diagrama de Gantt en esta hoja de cálculo.
Escriba el título de este proyecto en la celda B1. 
El título de la leyenda se encuentra en la celda I1.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</si>
  <si>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
Hay una leyenda en las celdas I2 a AC2.</t>
  </si>
  <si>
    <t>Escriba el nombre del responsable del proyecto en la celda B3. Escriba la fecha de inicio del proyecto en la celda F3, o bien deje que la fórmula de ejemplo encuentre el valor de fecha anterior en la tabla Datos de Gantt.  
Fecha de inicio del proyecto: la etiqueta se encuentra en la celda D3.</t>
  </si>
  <si>
    <t>Hay un incremento de desplazamiento en la celda F4. 
Los meses de las fechas en la fila 5 se muestran a partir de las celdas I4 a BL4.
No modifique estas celdas. Se actualizarán automáticamente basándose en la fecha de inicio del proyecto de la celda F3.</t>
  </si>
  <si>
    <t>Las celdas I5 a BL5 contienen el número de días del mes representado en el bloque de celdas encima de cada celda de fecha y se calculan automáticamente.
No modifique estas celdas.
La fecha actual está rodeada con una línea roja (hex. AD3815) desde la fecha actual en la fila 5 hasta toda la columna de fechas y el fin de la programación del proyecto.</t>
  </si>
  <si>
    <t>La barra de desplazamiento se encuentra en las celdas I6 a BL6. El incremento de páginas mediante los datos se define como 2 páginas cada vez y se puede configurar en las opciones de la barra de control. 
Para saltar hacia adelante o atrás en la escala de tiempo, escriba un valor de 0 o superior en la celda F4.
Un valor de 0 le llevará al principio del gráfico.</t>
  </si>
  <si>
    <t>Esta fila contiene los encabezados de la programación del proyecto posterior debajo de estos. 
Navegue desde la celda B7 a BL7 para escuchar el contenido. La primera letra de cada día de la semana de la fecha encima de ese encabezado empieza en la celda I7 y continúa hasta la celda BL7.
Todo el gráfico de la escala de tiempo del proyecto se genera automáticamente basándose en la categoría, la fecha de inicio y el número de días especificados en la tabla Hitos.</t>
  </si>
  <si>
    <t xml:space="preserve">No elimine esta fila. Esta fila está oculta para conservar una fórmula que se usa para resaltar el día actual dentro de la programación del proyecto. </t>
  </si>
  <si>
    <t>Especifique la información del proyecto desde la celda B9 a la celda G9. 
Los datos de ejemplo se encuentran en las celdas B9 a G33.
Escriba la descripción del hito, seleccione una categoría de la lista desplegable, asigne un usuario al elemento, escriba el progreso, la fecha de inicio y el número de días de la tarea para iniciar la representación en el gráfico.
La siguiente instrucción se encuentra en la celda A34.</t>
  </si>
  <si>
    <t>TÍTULO DEL PROYECTO</t>
  </si>
  <si>
    <t>Nombre de la compañía</t>
  </si>
  <si>
    <t>Descripción del hito</t>
  </si>
  <si>
    <t>Tarea 1</t>
  </si>
  <si>
    <t>Tarea 2</t>
  </si>
  <si>
    <t>Tarea 3</t>
  </si>
  <si>
    <t>Tarea 4</t>
  </si>
  <si>
    <t>Tarea 5</t>
  </si>
  <si>
    <t>Título 2</t>
  </si>
  <si>
    <t>Título 3</t>
  </si>
  <si>
    <t>Título 4</t>
  </si>
  <si>
    <t>Categoría</t>
  </si>
  <si>
    <t>Riesgo bajo</t>
  </si>
  <si>
    <t>Riesgo medio</t>
  </si>
  <si>
    <t>Riesgo alto</t>
  </si>
  <si>
    <t>Según lo previsto</t>
  </si>
  <si>
    <t>Progreso</t>
  </si>
  <si>
    <t>Inicio</t>
  </si>
  <si>
    <t>Número de días</t>
  </si>
  <si>
    <t>Leyenda:</t>
  </si>
  <si>
    <t>Sin asignar</t>
  </si>
  <si>
    <t>Información sobre esta plantilla</t>
  </si>
  <si>
    <t xml:space="preserve">Esta plantilla proporciona una forma sencilla de crear un diagrama de Gantt para ayudarle a visualizar su proyecto y realizar un seguimiento de este. Solo tiene que especificar la descripción de las tareas, seleccionar una categoría (Objetivo, Hito, Según lo previsto, Riesgo bajo, Riesgo medio, Riesgo alto), indicar el progreso como porcentaje de finalización de la tarea, especificar una fecha de inicio y escribir el número de días necesarios para completar la tarea. Se rellenará el diagrama de Gantt y se codificará por colores para distinguir fácilmente las categorías. Una barra de desplazamiento le permite desplazarse por la escala de tiempo. Para insertar nuevas tareas, inserte filas nuevas.
</t>
  </si>
  <si>
    <t>Guía para lectores de pantalla</t>
  </si>
  <si>
    <t>Hay 2 hojas de cálculo en este libro. 
Diagrama de Gantt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</si>
  <si>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Esta es la última instrucción de esta hoja de cálculo.</t>
  </si>
  <si>
    <t>Saul Nebreda Martinez</t>
  </si>
  <si>
    <t>Fecha inicio</t>
  </si>
  <si>
    <t>Dias desplazamiento</t>
  </si>
  <si>
    <t>A los videos solo podran acceder los socios</t>
  </si>
  <si>
    <t>Instalar Active Directory</t>
  </si>
  <si>
    <t>Probar el correcto funcionamiento</t>
  </si>
  <si>
    <t>Configuracion de Active Directory</t>
  </si>
  <si>
    <t>Crear el grupo de socios</t>
  </si>
  <si>
    <t>Crear socio de prueba</t>
  </si>
  <si>
    <t>Crear administrador de prueba</t>
  </si>
  <si>
    <t>Crear el grupo de administradores</t>
  </si>
  <si>
    <t>Crear el grupo de empleados</t>
  </si>
  <si>
    <t>Crear empleado de prueba</t>
  </si>
  <si>
    <t>Agregar permisos al grupo socio</t>
  </si>
  <si>
    <t>Comprobar lo que puede hacer un socio</t>
  </si>
  <si>
    <t>Agregar permisos al grupo administradores</t>
  </si>
  <si>
    <t>Comprobar lo que puede hacer un administrador</t>
  </si>
  <si>
    <t>Agregar permisos al grupo de empleados</t>
  </si>
  <si>
    <t>Asegurarse de que los no puedan acceder a zonas no autorizadas</t>
  </si>
  <si>
    <t>Una web sencilla para los usuarios</t>
  </si>
  <si>
    <t>Instalar IIS</t>
  </si>
  <si>
    <t>Comprobar instalacion y funcionamiento</t>
  </si>
  <si>
    <t>Configurar IIS</t>
  </si>
  <si>
    <t>Probar todas las configuraciones</t>
  </si>
  <si>
    <t>Poner una IP fija al servidor</t>
  </si>
  <si>
    <t>Probar la conexión de la nueva IP</t>
  </si>
  <si>
    <t>Instalacion de wordpress</t>
  </si>
  <si>
    <t>Acceder a wordpress para comprobar la correcta instalacion y funcionamiento</t>
  </si>
  <si>
    <t>Diseño de la pagina</t>
  </si>
  <si>
    <t>Objetivo</t>
  </si>
  <si>
    <t>Hito</t>
  </si>
  <si>
    <t>Red para el club</t>
  </si>
  <si>
    <t>Crear el esquema de la red</t>
  </si>
  <si>
    <t>Añadir varios dispositivos y comprobar su correcto funcionamiento</t>
  </si>
  <si>
    <t>Configuracion de la red</t>
  </si>
  <si>
    <t>Comprobar funcionamiento de la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</si>
</sst>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2" formatCode="_-* #,##0\ &quot;€&quot;_-;\-* #,##0\ &quot;€&quot;_-;_-* &quot;-&quot;\ &quot;€&quot;_-;_-@_-"/>
    <numFmt numFmtId="44" formatCode="_-* #,##0.00\ &quot;€&quot;_-;\-* #,##0.00\ &quot;€&quot;_-;_-* &quot;-&quot;??\ &quot;€&quot;_-;_-@_-"/>
    <numFmt numFmtId="164" formatCode="_(* #,##0.00_);_(* \(#,##0.00\);_(* &quot;-&quot;??_);_(@_)"/>
    <numFmt numFmtId="165" formatCode="d"/>
    <numFmt numFmtId="166" formatCode="#,##0_ ;\-#,##0\ "/>
  </numFmts>
  <fonts count="2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0">
    <fill>
      <patternFill patternType="none"/>
    </fill>
    <fill>
      <patternFill patternType="gray125"/>
    </fill>
    <fill>
      <patternFill patternType="solid">
        <fgColor theme="1" tint="0.34998626667073579"/>
        <bgColor indexed="64"/>
      </patternFill>
    </fill>
    <fill>
      <patternFill patternType="solid">
        <fgColor theme="1" tint="0.34998626667073579"/>
        <bgColor theme="4"/>
      </patternFill>
    </fill>
    <fill>
      <patternFill patternType="solid">
        <fgColor theme="2" tint="-9.9978637043366805E-2"/>
        <bgColor indexed="64"/>
      </patternFill>
    </fill>
    <fill>
      <patternFill patternType="solid">
        <fgColor theme="4"/>
        <bgColor indexed="64"/>
      </patternFill>
    </fill>
    <fill>
      <patternFill patternType="solid">
        <fgColor theme="6"/>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right/>
      <top/>
      <bottom style="thin">
        <color theme="0" tint="-0.249977111117893"/>
      </bottom>
      <diagonal/>
    </border>
    <border>
      <left style="thin">
        <color theme="0" tint="-0.249977111117893"/>
      </left>
      <right/>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0" tint="-0.14993743705557422"/>
      </left>
      <right style="thin">
        <color theme="0" tint="-0.14993743705557422"/>
      </right>
      <top style="medium">
        <color theme="0" tint="-0.1499679555650502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249977111117893"/>
      </right>
      <top/>
      <bottom/>
      <diagonal/>
    </border>
  </borders>
  <cellStyleXfs count="50">
    <xf numFmtId="0" fontId="0" fillId="0" borderId="0"/>
    <xf numFmtId="0" fontId="2" fillId="0" borderId="0" applyNumberFormat="0" applyFill="0" applyBorder="0" applyAlignment="0" applyProtection="0">
      <alignment vertical="top"/>
      <protection locked="0"/>
    </xf>
    <xf numFmtId="9" fontId="5" fillId="0" borderId="0" applyFont="0" applyFill="0" applyBorder="0" applyProtection="0">
      <alignment horizontal="center" vertical="center"/>
    </xf>
    <xf numFmtId="0" fontId="11" fillId="0" borderId="0"/>
    <xf numFmtId="164" fontId="5" fillId="0" borderId="1"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vertical="center" indent="1"/>
    </xf>
    <xf numFmtId="14" fontId="5" fillId="0" borderId="0" applyFont="0" applyFill="0" applyBorder="0">
      <alignment horizontal="center" vertical="center"/>
    </xf>
    <xf numFmtId="166" fontId="5" fillId="0" borderId="0" applyFont="0" applyFill="0" applyBorder="0" applyProtection="0">
      <alignment horizontal="center" vertical="center"/>
    </xf>
    <xf numFmtId="44" fontId="5" fillId="0" borderId="0" applyFont="0" applyFill="0" applyBorder="0" applyAlignment="0" applyProtection="0"/>
    <xf numFmtId="42" fontId="5" fillId="0" borderId="0" applyFont="0" applyFill="0" applyBorder="0" applyAlignment="0" applyProtection="0"/>
    <xf numFmtId="0" fontId="17" fillId="0" borderId="0" applyNumberFormat="0" applyFill="0" applyBorder="0" applyAlignment="0" applyProtection="0"/>
    <xf numFmtId="0" fontId="18" fillId="9" borderId="0" applyNumberFormat="0" applyBorder="0" applyAlignment="0" applyProtection="0"/>
    <xf numFmtId="0" fontId="19" fillId="10" borderId="0" applyNumberFormat="0" applyBorder="0" applyAlignment="0" applyProtection="0"/>
    <xf numFmtId="0" fontId="20" fillId="11" borderId="0" applyNumberFormat="0" applyBorder="0" applyAlignment="0" applyProtection="0"/>
    <xf numFmtId="0" fontId="21" fillId="12" borderId="12" applyNumberFormat="0" applyAlignment="0" applyProtection="0"/>
    <xf numFmtId="0" fontId="22" fillId="13" borderId="13" applyNumberFormat="0" applyAlignment="0" applyProtection="0"/>
    <xf numFmtId="0" fontId="23" fillId="13" borderId="12" applyNumberFormat="0" applyAlignment="0" applyProtection="0"/>
    <xf numFmtId="0" fontId="24" fillId="0" borderId="14" applyNumberFormat="0" applyFill="0" applyAlignment="0" applyProtection="0"/>
    <xf numFmtId="0" fontId="25" fillId="14" borderId="15" applyNumberFormat="0" applyAlignment="0" applyProtection="0"/>
    <xf numFmtId="0" fontId="26" fillId="0" borderId="0" applyNumberFormat="0" applyFill="0" applyBorder="0" applyAlignment="0" applyProtection="0"/>
    <xf numFmtId="0" fontId="5" fillId="15" borderId="16" applyNumberFormat="0" applyFont="0" applyAlignment="0" applyProtection="0"/>
    <xf numFmtId="0" fontId="27" fillId="0" borderId="0" applyNumberFormat="0" applyFill="0" applyBorder="0" applyAlignment="0" applyProtection="0"/>
    <xf numFmtId="0" fontId="4" fillId="0" borderId="17" applyNumberFormat="0" applyFill="0" applyAlignment="0" applyProtection="0"/>
    <xf numFmtId="0" fontId="11"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1"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1"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1"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1"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11"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cellStyleXfs>
  <cellXfs count="55">
    <xf numFmtId="0" fontId="0" fillId="0" borderId="0" xfId="0"/>
    <xf numFmtId="0" fontId="0" fillId="0" borderId="0" xfId="0" applyAlignment="1">
      <alignment vertical="center"/>
    </xf>
    <xf numFmtId="0" fontId="0" fillId="0" borderId="0" xfId="0" applyAlignment="1">
      <alignment horizontal="center"/>
    </xf>
    <xf numFmtId="0" fontId="1" fillId="0" borderId="0" xfId="0" applyFont="1" applyAlignment="1">
      <alignment horizontal="center" vertical="center"/>
    </xf>
    <xf numFmtId="0" fontId="1" fillId="0" borderId="0" xfId="0" applyFont="1"/>
    <xf numFmtId="0" fontId="8" fillId="0" borderId="0" xfId="0" applyFont="1"/>
    <xf numFmtId="0" fontId="1" fillId="0" borderId="0" xfId="0" applyFont="1" applyAlignment="1">
      <alignment vertical="top"/>
    </xf>
    <xf numFmtId="0" fontId="10" fillId="0" borderId="0" xfId="0" applyFont="1" applyAlignment="1">
      <alignment vertical="center"/>
    </xf>
    <xf numFmtId="0" fontId="9" fillId="0" borderId="0" xfId="0" applyFont="1" applyAlignment="1">
      <alignment horizontal="left" vertical="top" wrapText="1" indent="1"/>
    </xf>
    <xf numFmtId="0" fontId="0" fillId="0" borderId="0" xfId="0" applyAlignment="1">
      <alignment vertical="top" wrapText="1"/>
    </xf>
    <xf numFmtId="0" fontId="11" fillId="0" borderId="0" xfId="3"/>
    <xf numFmtId="0" fontId="11" fillId="0" borderId="0" xfId="3" applyAlignment="1">
      <alignment wrapText="1"/>
    </xf>
    <xf numFmtId="0" fontId="7" fillId="0" borderId="0" xfId="5" applyAlignment="1">
      <alignment horizontal="left"/>
    </xf>
    <xf numFmtId="0" fontId="6" fillId="0" borderId="0" xfId="6"/>
    <xf numFmtId="0" fontId="6" fillId="0" borderId="0" xfId="7">
      <alignment vertical="top"/>
    </xf>
    <xf numFmtId="0" fontId="0" fillId="0" borderId="5" xfId="0" applyBorder="1"/>
    <xf numFmtId="0" fontId="0" fillId="0" borderId="6" xfId="0" applyBorder="1"/>
    <xf numFmtId="0" fontId="0" fillId="0" borderId="5" xfId="0" applyBorder="1" applyAlignment="1">
      <alignment horizontal="center"/>
    </xf>
    <xf numFmtId="0" fontId="13" fillId="2" borderId="4" xfId="0" applyFont="1" applyFill="1" applyBorder="1" applyAlignment="1">
      <alignment horizontal="center" vertical="center" shrinkToFit="1"/>
    </xf>
    <xf numFmtId="0" fontId="3" fillId="0" borderId="0" xfId="0" applyFont="1" applyAlignment="1">
      <alignment horizontal="center" vertical="center"/>
    </xf>
    <xf numFmtId="0" fontId="12" fillId="3" borderId="0" xfId="0" applyFont="1" applyFill="1" applyAlignment="1">
      <alignment horizontal="center" vertical="center" wrapText="1"/>
    </xf>
    <xf numFmtId="0" fontId="0" fillId="0" borderId="0" xfId="0" applyAlignment="1">
      <alignment horizontal="left" vertical="center" indent="1"/>
    </xf>
    <xf numFmtId="0" fontId="0" fillId="0" borderId="0" xfId="0" applyAlignment="1">
      <alignment horizontal="center" vertical="center" wrapText="1"/>
    </xf>
    <xf numFmtId="9" fontId="0" fillId="0" borderId="0" xfId="2" applyFont="1">
      <alignment horizontal="center" vertical="center"/>
    </xf>
    <xf numFmtId="14" fontId="0" fillId="0" borderId="0" xfId="9" applyFont="1">
      <alignment horizontal="center" vertical="center"/>
    </xf>
    <xf numFmtId="166" fontId="0" fillId="0" borderId="0" xfId="10" applyFont="1">
      <alignment horizontal="center" vertical="center"/>
    </xf>
    <xf numFmtId="0" fontId="0" fillId="0" borderId="0" xfId="0" applyAlignment="1">
      <alignment horizontal="center" vertical="center"/>
    </xf>
    <xf numFmtId="0" fontId="0" fillId="0" borderId="10" xfId="0" applyBorder="1" applyAlignment="1">
      <alignment vertical="center"/>
    </xf>
    <xf numFmtId="0" fontId="0" fillId="0" borderId="9" xfId="0" applyBorder="1" applyAlignment="1">
      <alignment horizontal="center" vertical="center"/>
    </xf>
    <xf numFmtId="0" fontId="6" fillId="0" borderId="0" xfId="7" applyAlignment="1"/>
    <xf numFmtId="0" fontId="16" fillId="0" borderId="0" xfId="0" applyFont="1"/>
    <xf numFmtId="0" fontId="0" fillId="0" borderId="11" xfId="0" applyBorder="1" applyAlignment="1">
      <alignment horizontal="center" vertical="center"/>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3" fillId="0" borderId="0" xfId="0" applyFont="1" applyAlignment="1">
      <alignment vertical="top"/>
    </xf>
    <xf numFmtId="165" fontId="13" fillId="2" borderId="2" xfId="0" applyNumberFormat="1" applyFont="1" applyFill="1" applyBorder="1" applyAlignment="1">
      <alignment horizontal="center" vertical="center"/>
    </xf>
    <xf numFmtId="165" fontId="13" fillId="2" borderId="0" xfId="0" applyNumberFormat="1" applyFont="1" applyFill="1" applyAlignment="1">
      <alignment horizontal="center" vertical="center"/>
    </xf>
    <xf numFmtId="165" fontId="13" fillId="2" borderId="3" xfId="0" applyNumberFormat="1" applyFont="1" applyFill="1" applyBorder="1" applyAlignment="1">
      <alignment horizontal="center" vertical="center"/>
    </xf>
    <xf numFmtId="0" fontId="0" fillId="0" borderId="0" xfId="0" applyAlignment="1">
      <alignment horizontal="left" vertical="center" wrapText="1" indent="2"/>
    </xf>
    <xf numFmtId="0" fontId="4" fillId="0" borderId="0" xfId="0" applyFont="1" applyAlignment="1">
      <alignment horizontal="left" vertical="center" wrapText="1" indent="1"/>
    </xf>
    <xf numFmtId="0" fontId="0" fillId="0" borderId="0" xfId="0"/>
    <xf numFmtId="0" fontId="0" fillId="0" borderId="0" xfId="0"/>
    <xf numFmtId="0" fontId="15" fillId="7" borderId="0" xfId="0" applyFont="1" applyFill="1" applyAlignment="1">
      <alignment horizontal="center" vertical="center"/>
    </xf>
    <xf numFmtId="0" fontId="14" fillId="4" borderId="0" xfId="0" applyFont="1" applyFill="1" applyAlignment="1">
      <alignment horizontal="center" vertical="center"/>
    </xf>
    <xf numFmtId="0" fontId="0" fillId="0" borderId="0" xfId="0"/>
    <xf numFmtId="14" fontId="5" fillId="0" borderId="7" xfId="9" applyBorder="1">
      <alignment horizontal="center" vertical="center"/>
    </xf>
    <xf numFmtId="14" fontId="5" fillId="0" borderId="8" xfId="9" applyBorder="1">
      <alignment horizontal="center" vertical="center"/>
    </xf>
    <xf numFmtId="0" fontId="15" fillId="5" borderId="0" xfId="0" applyFont="1" applyFill="1" applyAlignment="1">
      <alignment horizontal="center" vertical="center"/>
    </xf>
    <xf numFmtId="0" fontId="14" fillId="6" borderId="0" xfId="0" applyFont="1" applyFill="1" applyAlignment="1">
      <alignment horizontal="center" vertical="center"/>
    </xf>
    <xf numFmtId="0" fontId="15" fillId="8" borderId="0" xfId="0" applyFont="1" applyFill="1" applyAlignment="1">
      <alignment horizontal="center" vertical="center"/>
    </xf>
    <xf numFmtId="0" fontId="0" fillId="0" borderId="0" xfId="8" applyFont="1" applyAlignment="1">
      <alignment horizontal="center" vertical="center"/>
    </xf>
    <xf numFmtId="0" fontId="0" fillId="0" borderId="18" xfId="8" applyFont="1" applyBorder="1" applyAlignment="1">
      <alignment horizontal="center" vertical="center"/>
    </xf>
    <xf numFmtId="0" fontId="0" fillId="0" borderId="0" xfId="0" applyAlignment="1">
      <alignment horizontal="left" vertical="center" wrapText="1" indent="3"/>
    </xf>
    <xf numFmtId="0" fontId="4" fillId="0" borderId="0" xfId="0" applyFont="1" applyAlignment="1">
      <alignment horizontal="left" vertical="center" wrapText="1" indent="2"/>
    </xf>
  </cellXfs>
  <cellStyles count="50">
    <cellStyle name="20% - Énfasis1" xfId="27" builtinId="30" customBuiltin="1"/>
    <cellStyle name="20% - Énfasis2" xfId="31"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8" builtinId="31" customBuiltin="1"/>
    <cellStyle name="40% - Énfasis2" xfId="32"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29" builtinId="32" customBuiltin="1"/>
    <cellStyle name="60% - Énfasis2" xfId="33"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6" builtinId="16" customBuiltin="1"/>
    <cellStyle name="Encabezado 4" xfId="13" builtinId="19" customBuiltin="1"/>
    <cellStyle name="Énfasis1" xfId="26" builtinId="29" customBuiltin="1"/>
    <cellStyle name="Énfasis2" xfId="30" builtinId="33" customBuiltin="1"/>
    <cellStyle name="Énfasis3" xfId="34" builtinId="37" customBuiltin="1"/>
    <cellStyle name="Énfasis4" xfId="38" builtinId="41" customBuiltin="1"/>
    <cellStyle name="Énfasis5" xfId="42" builtinId="45" customBuiltin="1"/>
    <cellStyle name="Énfasis6" xfId="46" builtinId="49" customBuiltin="1"/>
    <cellStyle name="Entrada" xfId="17" builtinId="20" customBuiltin="1"/>
    <cellStyle name="Fecha" xfId="9"/>
    <cellStyle name="Hipervínculo" xfId="1" builtinId="8" customBuiltin="1"/>
    <cellStyle name="Incorrecto" xfId="15" builtinId="27" customBuiltin="1"/>
    <cellStyle name="Millares" xfId="4" builtinId="3" customBuiltin="1"/>
    <cellStyle name="Millares [0]" xfId="10" builtinId="6" customBuiltin="1"/>
    <cellStyle name="Moneda" xfId="11" builtinId="4" customBuiltin="1"/>
    <cellStyle name="Moneda [0]" xfId="12" builtinId="7" customBuiltin="1"/>
    <cellStyle name="Neutral" xfId="16" builtinId="28" customBuiltin="1"/>
    <cellStyle name="Normal" xfId="0" builtinId="0" customBuiltin="1"/>
    <cellStyle name="Notas" xfId="23" builtinId="10" customBuiltin="1"/>
    <cellStyle name="Porcentaje" xfId="2" builtinId="5" customBuiltin="1"/>
    <cellStyle name="Salida" xfId="18" builtinId="21" customBuiltin="1"/>
    <cellStyle name="Texto de advertencia" xfId="22" builtinId="11" customBuiltin="1"/>
    <cellStyle name="Texto explicativo" xfId="24" builtinId="53" customBuiltin="1"/>
    <cellStyle name="Título" xfId="5" builtinId="15" customBuiltin="1"/>
    <cellStyle name="Título 2" xfId="7" builtinId="17" customBuiltin="1"/>
    <cellStyle name="Título 3" xfId="8" builtinId="18" customBuiltin="1"/>
    <cellStyle name="Total" xfId="25" builtinId="25" customBuiltin="1"/>
    <cellStyle name="zHiddenText" xfId="3"/>
  </cellStyles>
  <dxfs count="39">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ill>
        <patternFill>
          <bgColor theme="6" tint="0.79998168889431442"/>
        </patternFill>
      </fill>
      <border>
        <top style="thin">
          <color theme="0"/>
        </top>
        <bottom style="thin">
          <color theme="0"/>
        </bottom>
      </border>
    </dxf>
    <dxf>
      <font>
        <b/>
        <i val="0"/>
        <color theme="0"/>
      </font>
      <border>
        <left style="thin">
          <color rgb="FFC00000"/>
        </left>
        <right style="thin">
          <color rgb="FFC00000"/>
        </right>
        <vertical/>
        <horizontal/>
      </border>
    </dxf>
    <dxf>
      <alignment horizontal="center" vertical="center" textRotation="0" wrapText="0" indent="0" justifyLastLine="0" shrinkToFit="0" readingOrder="0"/>
    </dxf>
    <dxf>
      <alignment horizontal="left" vertical="center" textRotation="0" wrapText="1" relativeIndent="1" justifyLastLine="0" shrinkToFit="0" readingOrder="0"/>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3" tint="-0.24994659260841701"/>
      </font>
      <border diagonalUp="0" diagonalDown="0">
        <left/>
        <right style="thin">
          <color theme="6" tint="0.39994506668294322"/>
        </right>
        <top/>
        <bottom/>
        <vertical/>
        <horizontal/>
      </border>
    </dxf>
  </dxfs>
  <tableStyles count="2" defaultPivotStyle="PivotStyleLight16">
    <tableStyle name="Estilo de tabla personalizado" pivot="0" count="3">
      <tableStyleElement type="wholeTable" dxfId="38"/>
      <tableStyleElement type="headerRow" dxfId="37"/>
      <tableStyleElement type="firstRowStripe" dxfId="36"/>
    </tableStyle>
    <tableStyle name="ListaTareasPendientes" pivot="0" count="9">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39" fmlaLink="$E$4"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30480</xdr:colOff>
          <xdr:row>5</xdr:row>
          <xdr:rowOff>60960</xdr:rowOff>
        </xdr:from>
        <xdr:to>
          <xdr:col>62</xdr:col>
          <xdr:colOff>365760</xdr:colOff>
          <xdr:row>5</xdr:row>
          <xdr:rowOff>236220</xdr:rowOff>
        </xdr:to>
        <xdr:sp macro="" textlink="">
          <xdr:nvSpPr>
            <xdr:cNvPr id="6149" name="Barra de desplazamiento 5" descr="Barra de desplazamiento para desplazarse por la escala de tiempo del proyecto Ghantt."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id="1" name="Hitos" displayName="Hitos" ref="B7:F58" totalsRowShown="0">
  <autoFilter ref="B7:F58">
    <filterColumn colId="0" hiddenButton="1"/>
    <filterColumn colId="1" hiddenButton="1"/>
    <filterColumn colId="2" hiddenButton="1"/>
    <filterColumn colId="3" hiddenButton="1"/>
    <filterColumn colId="4" hiddenButton="1"/>
  </autoFilter>
  <tableColumns count="5">
    <tableColumn id="1" name="Descripción del hito" dataDxfId="26"/>
    <tableColumn id="2" name="Categoría" dataDxfId="25"/>
    <tableColumn id="4" name="Progreso"/>
    <tableColumn id="5" name="Inicio" dataCellStyle="Fecha"/>
    <tableColumn id="6" name="Número de días"/>
  </tableColumns>
  <tableStyleInfo name="Estilo de tabla personalizado" showFirstColumn="1" showLastColumn="0" showRowStripes="1" showColumnStripes="0"/>
  <extLst>
    <ext xmlns:x14="http://schemas.microsoft.com/office/spreadsheetml/2009/9/main" uri="{504A1905-F514-4f6f-8877-14C23A59335A}">
      <x14:table altTextSummary="Escriba la información del proyecto en esta tabla. Escriba una descripción hito de una fase, tarea, actividad, etc., en la columna situada debajo de Descripción. Seleccione una categoría en la columna Categoría. Asigne el elemento a alguien de la columna Asignado a. Actualice el progreso y vea la como las barras de datos se actualizan automáticamente en la columna Progreso. Escriba la fecha de inicio en la columna Inicio y el número de días en la columna Número de días. Los datos de Ghantt en las celdas J9 a BM 34 se actualizarán automáticamente. Agregue nuevas filas en la tabla para agregar nuevas tareas."/>
    </ext>
  </extLst>
</table>
</file>

<file path=xl/theme/theme1.xml><?xml version="1.0" encoding="utf-8"?>
<a:theme xmlns:a="http://schemas.openxmlformats.org/drawingml/2006/main" name="Attitude">
  <a:themeElements>
    <a:clrScheme name="Attitude">
      <a:dk1>
        <a:sysClr val="windowText" lastClr="000000"/>
      </a:dk1>
      <a:lt1>
        <a:sysClr val="window" lastClr="FFFFFF"/>
      </a:lt1>
      <a:dk2>
        <a:srgbClr val="44546A"/>
      </a:dk2>
      <a:lt2>
        <a:srgbClr val="E7E6E6"/>
      </a:lt2>
      <a:accent1>
        <a:srgbClr val="1180AE"/>
      </a:accent1>
      <a:accent2>
        <a:srgbClr val="6C5B97"/>
      </a:accent2>
      <a:accent3>
        <a:srgbClr val="FCB239"/>
      </a:accent3>
      <a:accent4>
        <a:srgbClr val="D74061"/>
      </a:accent4>
      <a:accent5>
        <a:srgbClr val="F37A29"/>
      </a:accent5>
      <a:accent6>
        <a:srgbClr val="B66BA3"/>
      </a:accent6>
      <a:hlink>
        <a:srgbClr val="D2B356"/>
      </a:hlink>
      <a:folHlink>
        <a:srgbClr val="C5916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L58"/>
  <sheetViews>
    <sheetView showGridLines="0" tabSelected="1" showRuler="0" topLeftCell="A7" zoomScaleNormal="100" zoomScalePageLayoutView="70" workbookViewId="0">
      <selection activeCell="E12" sqref="E12"/>
    </sheetView>
  </sheetViews>
  <sheetFormatPr baseColWidth="10" defaultColWidth="9.109375" defaultRowHeight="30" customHeight="1" x14ac:dyDescent="0.3"/>
  <cols>
    <col min="1" max="1" width="2.6640625" style="10" customWidth="1"/>
    <col min="2" max="2" width="38.109375" customWidth="1"/>
    <col min="3" max="3" width="26.88671875" customWidth="1"/>
    <col min="4" max="4" width="10.6640625" customWidth="1"/>
    <col min="5" max="5" width="12.33203125" style="2" customWidth="1"/>
    <col min="6" max="6" width="10.44140625" customWidth="1"/>
    <col min="7" max="7" width="2.6640625" customWidth="1"/>
    <col min="8" max="63" width="5.5546875" customWidth="1"/>
    <col min="68" max="69" width="10.33203125"/>
  </cols>
  <sheetData>
    <row r="1" spans="1:63" ht="30" customHeight="1" x14ac:dyDescent="0.55000000000000004">
      <c r="A1" s="11" t="s">
        <v>0</v>
      </c>
      <c r="B1" s="12" t="s">
        <v>9</v>
      </c>
      <c r="C1" s="12"/>
      <c r="E1"/>
      <c r="F1" s="3"/>
      <c r="H1" s="29" t="s">
        <v>28</v>
      </c>
      <c r="I1" s="4"/>
    </row>
    <row r="2" spans="1:63" ht="30" customHeight="1" x14ac:dyDescent="0.35">
      <c r="A2" s="11" t="s">
        <v>1</v>
      </c>
      <c r="B2" s="13" t="s">
        <v>10</v>
      </c>
      <c r="C2" s="13"/>
      <c r="E2" s="17"/>
      <c r="F2" s="15"/>
      <c r="H2" s="48" t="s">
        <v>24</v>
      </c>
      <c r="I2" s="48"/>
      <c r="J2" s="48"/>
      <c r="K2" s="48"/>
      <c r="M2" s="49" t="s">
        <v>21</v>
      </c>
      <c r="N2" s="49"/>
      <c r="O2" s="49"/>
      <c r="P2" s="49"/>
      <c r="R2" s="50" t="s">
        <v>22</v>
      </c>
      <c r="S2" s="50"/>
      <c r="T2" s="50"/>
      <c r="U2" s="50"/>
      <c r="W2" s="43" t="s">
        <v>23</v>
      </c>
      <c r="X2" s="43"/>
      <c r="Y2" s="43"/>
      <c r="Z2" s="43"/>
      <c r="AB2" s="44" t="s">
        <v>29</v>
      </c>
      <c r="AC2" s="44"/>
      <c r="AD2" s="44"/>
      <c r="AE2" s="44"/>
    </row>
    <row r="3" spans="1:63" ht="30" customHeight="1" x14ac:dyDescent="0.3">
      <c r="A3" s="11" t="s">
        <v>2</v>
      </c>
      <c r="B3" s="14" t="s">
        <v>35</v>
      </c>
      <c r="C3" s="51" t="s">
        <v>36</v>
      </c>
      <c r="D3" s="52"/>
      <c r="E3" s="46">
        <v>45835</v>
      </c>
      <c r="F3" s="47"/>
      <c r="G3" s="16"/>
    </row>
    <row r="4" spans="1:63" ht="30" customHeight="1" x14ac:dyDescent="0.4">
      <c r="A4" s="11" t="s">
        <v>3</v>
      </c>
      <c r="B4" s="51" t="s">
        <v>37</v>
      </c>
      <c r="C4" s="51"/>
      <c r="D4" s="52"/>
      <c r="E4" s="31">
        <v>0</v>
      </c>
      <c r="H4" s="30" t="str">
        <f ca="1">TEXT(H5,"mmmm")</f>
        <v>junio</v>
      </c>
      <c r="I4" s="30"/>
      <c r="J4" s="30"/>
      <c r="K4" s="30"/>
      <c r="L4" s="30"/>
      <c r="M4" s="30"/>
      <c r="N4" s="30"/>
      <c r="O4" s="30" t="str">
        <f ca="1">IF(TEXT(O5,"mmmm")=H4,"",TEXT(O5,"mmmm"))</f>
        <v>julio</v>
      </c>
      <c r="P4" s="30"/>
      <c r="Q4" s="30"/>
      <c r="R4" s="30"/>
      <c r="S4" s="30"/>
      <c r="T4" s="30"/>
      <c r="U4" s="30"/>
      <c r="V4" s="30" t="str">
        <f ca="1">IF(OR(TEXT(V5,"mmmm")=O4,TEXT(V5,"mmmm")=H4),"",TEXT(V5,"mmmm"))</f>
        <v/>
      </c>
      <c r="W4" s="30"/>
      <c r="X4" s="30"/>
      <c r="Y4" s="30"/>
      <c r="Z4" s="30"/>
      <c r="AA4" s="30"/>
      <c r="AB4" s="30"/>
      <c r="AC4" s="30" t="str">
        <f ca="1">IF(OR(TEXT(AC5,"mmmm")=V4,TEXT(AC5,"mmmm")=O4,TEXT(AC5,"mmmm")=H4),"",TEXT(AC5,"mmmm"))</f>
        <v/>
      </c>
      <c r="AD4" s="30"/>
      <c r="AE4" s="30"/>
      <c r="AF4" s="30"/>
      <c r="AG4" s="30"/>
      <c r="AH4" s="30"/>
      <c r="AI4" s="30"/>
      <c r="AJ4" s="30" t="str">
        <f ca="1">IF(OR(TEXT(AJ5,"mmmm")=AC4,TEXT(AJ5,"mmmm")=V4,TEXT(AJ5,"mmmm")=O4,TEXT(AJ5,"mmmm")=H4),"",TEXT(AJ5,"mmmm"))</f>
        <v/>
      </c>
      <c r="AK4" s="30"/>
      <c r="AL4" s="30"/>
      <c r="AM4" s="30"/>
      <c r="AN4" s="30"/>
      <c r="AO4" s="30"/>
      <c r="AP4" s="30"/>
      <c r="AQ4" s="30" t="str">
        <f ca="1">IF(OR(TEXT(AQ5,"mmmm")=AJ4,TEXT(AQ5,"mmmm")=AC4,TEXT(AQ5,"mmmm")=V4,TEXT(AQ5,"mmmm")=O4),"",TEXT(AQ5,"mmmm"))</f>
        <v>agosto</v>
      </c>
      <c r="AR4" s="30"/>
      <c r="AS4" s="30"/>
      <c r="AT4" s="30"/>
      <c r="AU4" s="30"/>
      <c r="AV4" s="30"/>
      <c r="AW4" s="30"/>
      <c r="AX4" s="30" t="str">
        <f ca="1">IF(OR(TEXT(AX5,"mmmm")=AQ4,TEXT(AX5,"mmmm")=AJ4,TEXT(AX5,"mmmm")=AC4,TEXT(AX5,"mmmm")=V4),"",TEXT(AX5,"mmmm"))</f>
        <v/>
      </c>
      <c r="AY4" s="30"/>
      <c r="AZ4" s="30"/>
      <c r="BA4" s="30"/>
      <c r="BB4" s="30"/>
      <c r="BC4" s="30"/>
      <c r="BD4" s="30"/>
      <c r="BE4" s="30" t="str">
        <f ca="1">IF(OR(TEXT(BE5,"mmmm")=AX4,TEXT(BE5,"mmmm")=AQ4,TEXT(BE5,"mmmm")=AJ4,TEXT(BE5,"mmmm")=AC4),"",TEXT(BE5,"mmmm"))</f>
        <v/>
      </c>
      <c r="BF4" s="30"/>
      <c r="BG4" s="30"/>
      <c r="BH4" s="30"/>
      <c r="BI4" s="30"/>
      <c r="BJ4" s="30"/>
      <c r="BK4" s="30"/>
    </row>
    <row r="5" spans="1:63" ht="15" customHeight="1" x14ac:dyDescent="0.3">
      <c r="A5" s="11" t="s">
        <v>4</v>
      </c>
      <c r="B5" s="45"/>
      <c r="C5" s="45"/>
      <c r="D5" s="45"/>
      <c r="E5" s="45"/>
      <c r="F5" s="45"/>
      <c r="G5" s="45"/>
      <c r="H5" s="36">
        <f ca="1">IFERROR(Inicio_del_proyecto+Incremento_de_desplazamiento,TODAY())</f>
        <v>45835</v>
      </c>
      <c r="I5" s="37">
        <f ca="1">H5+1</f>
        <v>45836</v>
      </c>
      <c r="J5" s="37">
        <f t="shared" ref="J5:AW5" ca="1" si="0">I5+1</f>
        <v>45837</v>
      </c>
      <c r="K5" s="37">
        <f t="shared" ca="1" si="0"/>
        <v>45838</v>
      </c>
      <c r="L5" s="37">
        <f t="shared" ca="1" si="0"/>
        <v>45839</v>
      </c>
      <c r="M5" s="37">
        <f t="shared" ca="1" si="0"/>
        <v>45840</v>
      </c>
      <c r="N5" s="38">
        <f t="shared" ca="1" si="0"/>
        <v>45841</v>
      </c>
      <c r="O5" s="36">
        <f ca="1">N5+1</f>
        <v>45842</v>
      </c>
      <c r="P5" s="37">
        <f ca="1">O5+1</f>
        <v>45843</v>
      </c>
      <c r="Q5" s="37">
        <f t="shared" ca="1" si="0"/>
        <v>45844</v>
      </c>
      <c r="R5" s="37">
        <f t="shared" ca="1" si="0"/>
        <v>45845</v>
      </c>
      <c r="S5" s="37">
        <f t="shared" ca="1" si="0"/>
        <v>45846</v>
      </c>
      <c r="T5" s="37">
        <f t="shared" ca="1" si="0"/>
        <v>45847</v>
      </c>
      <c r="U5" s="38">
        <f t="shared" ca="1" si="0"/>
        <v>45848</v>
      </c>
      <c r="V5" s="36">
        <f ca="1">U5+1</f>
        <v>45849</v>
      </c>
      <c r="W5" s="37">
        <f ca="1">V5+1</f>
        <v>45850</v>
      </c>
      <c r="X5" s="37">
        <f t="shared" ca="1" si="0"/>
        <v>45851</v>
      </c>
      <c r="Y5" s="37">
        <f t="shared" ca="1" si="0"/>
        <v>45852</v>
      </c>
      <c r="Z5" s="37">
        <f t="shared" ca="1" si="0"/>
        <v>45853</v>
      </c>
      <c r="AA5" s="37">
        <f t="shared" ca="1" si="0"/>
        <v>45854</v>
      </c>
      <c r="AB5" s="38">
        <f t="shared" ca="1" si="0"/>
        <v>45855</v>
      </c>
      <c r="AC5" s="36">
        <f ca="1">AB5+1</f>
        <v>45856</v>
      </c>
      <c r="AD5" s="37">
        <f ca="1">AC5+1</f>
        <v>45857</v>
      </c>
      <c r="AE5" s="37">
        <f t="shared" ca="1" si="0"/>
        <v>45858</v>
      </c>
      <c r="AF5" s="37">
        <f t="shared" ca="1" si="0"/>
        <v>45859</v>
      </c>
      <c r="AG5" s="37">
        <f t="shared" ca="1" si="0"/>
        <v>45860</v>
      </c>
      <c r="AH5" s="37">
        <f t="shared" ca="1" si="0"/>
        <v>45861</v>
      </c>
      <c r="AI5" s="38">
        <f t="shared" ca="1" si="0"/>
        <v>45862</v>
      </c>
      <c r="AJ5" s="36">
        <f ca="1">AI5+1</f>
        <v>45863</v>
      </c>
      <c r="AK5" s="37">
        <f ca="1">AJ5+1</f>
        <v>45864</v>
      </c>
      <c r="AL5" s="37">
        <f t="shared" ca="1" si="0"/>
        <v>45865</v>
      </c>
      <c r="AM5" s="37">
        <f t="shared" ca="1" si="0"/>
        <v>45866</v>
      </c>
      <c r="AN5" s="37">
        <f t="shared" ca="1" si="0"/>
        <v>45867</v>
      </c>
      <c r="AO5" s="37">
        <f t="shared" ca="1" si="0"/>
        <v>45868</v>
      </c>
      <c r="AP5" s="38">
        <f t="shared" ca="1" si="0"/>
        <v>45869</v>
      </c>
      <c r="AQ5" s="36">
        <f ca="1">AP5+1</f>
        <v>45870</v>
      </c>
      <c r="AR5" s="37">
        <f ca="1">AQ5+1</f>
        <v>45871</v>
      </c>
      <c r="AS5" s="37">
        <f t="shared" ca="1" si="0"/>
        <v>45872</v>
      </c>
      <c r="AT5" s="37">
        <f t="shared" ca="1" si="0"/>
        <v>45873</v>
      </c>
      <c r="AU5" s="37">
        <f t="shared" ca="1" si="0"/>
        <v>45874</v>
      </c>
      <c r="AV5" s="37">
        <f t="shared" ca="1" si="0"/>
        <v>45875</v>
      </c>
      <c r="AW5" s="38">
        <f t="shared" ca="1" si="0"/>
        <v>45876</v>
      </c>
      <c r="AX5" s="36">
        <f ca="1">AW5+1</f>
        <v>45877</v>
      </c>
      <c r="AY5" s="37">
        <f ca="1">AX5+1</f>
        <v>45878</v>
      </c>
      <c r="AZ5" s="37">
        <f t="shared" ref="AZ5:BD5" ca="1" si="1">AY5+1</f>
        <v>45879</v>
      </c>
      <c r="BA5" s="37">
        <f t="shared" ca="1" si="1"/>
        <v>45880</v>
      </c>
      <c r="BB5" s="37">
        <f t="shared" ca="1" si="1"/>
        <v>45881</v>
      </c>
      <c r="BC5" s="37">
        <f t="shared" ca="1" si="1"/>
        <v>45882</v>
      </c>
      <c r="BD5" s="38">
        <f t="shared" ca="1" si="1"/>
        <v>45883</v>
      </c>
      <c r="BE5" s="36">
        <f ca="1">BD5+1</f>
        <v>45884</v>
      </c>
      <c r="BF5" s="37">
        <f ca="1">BE5+1</f>
        <v>45885</v>
      </c>
      <c r="BG5" s="37">
        <f t="shared" ref="BG5:BK5" ca="1" si="2">BF5+1</f>
        <v>45886</v>
      </c>
      <c r="BH5" s="37">
        <f t="shared" ca="1" si="2"/>
        <v>45887</v>
      </c>
      <c r="BI5" s="37">
        <f t="shared" ca="1" si="2"/>
        <v>45888</v>
      </c>
      <c r="BJ5" s="37">
        <f t="shared" ca="1" si="2"/>
        <v>45889</v>
      </c>
      <c r="BK5" s="38">
        <f t="shared" ca="1" si="2"/>
        <v>45890</v>
      </c>
    </row>
    <row r="6" spans="1:63" ht="25.2" customHeight="1" x14ac:dyDescent="0.3">
      <c r="A6" s="11" t="s">
        <v>5</v>
      </c>
      <c r="E6"/>
      <c r="H6" s="32"/>
      <c r="I6" s="33"/>
      <c r="J6" s="33"/>
      <c r="K6" s="33"/>
      <c r="L6" s="33"/>
      <c r="M6" s="33"/>
      <c r="N6" s="34"/>
      <c r="O6" s="32"/>
      <c r="P6" s="33"/>
      <c r="Q6" s="33"/>
      <c r="R6" s="33"/>
      <c r="S6" s="33"/>
      <c r="T6" s="33"/>
      <c r="U6" s="34"/>
      <c r="V6" s="32"/>
      <c r="W6" s="33"/>
      <c r="X6" s="33"/>
      <c r="Y6" s="33"/>
      <c r="Z6" s="33"/>
      <c r="AA6" s="33"/>
      <c r="AB6" s="34"/>
      <c r="AC6" s="32"/>
      <c r="AD6" s="33"/>
      <c r="AE6" s="33"/>
      <c r="AF6" s="33"/>
      <c r="AG6" s="33"/>
      <c r="AH6" s="33"/>
      <c r="AI6" s="34"/>
      <c r="AJ6" s="32"/>
      <c r="AK6" s="33"/>
      <c r="AL6" s="33"/>
      <c r="AM6" s="33"/>
      <c r="AN6" s="33"/>
      <c r="AO6" s="33"/>
      <c r="AP6" s="34"/>
      <c r="AQ6" s="32"/>
      <c r="AR6" s="33"/>
      <c r="AS6" s="33"/>
      <c r="AT6" s="33"/>
      <c r="AU6" s="33"/>
      <c r="AV6" s="33"/>
      <c r="AW6" s="34"/>
      <c r="AX6" s="32"/>
      <c r="AY6" s="33"/>
      <c r="AZ6" s="33"/>
      <c r="BA6" s="33"/>
      <c r="BB6" s="33"/>
      <c r="BC6" s="33"/>
      <c r="BD6" s="34"/>
      <c r="BE6" s="32"/>
      <c r="BF6" s="33"/>
      <c r="BG6" s="33"/>
      <c r="BH6" s="33"/>
      <c r="BI6" s="33"/>
      <c r="BJ6" s="33"/>
      <c r="BK6" s="34"/>
    </row>
    <row r="7" spans="1:63" ht="30.9" customHeight="1" thickBot="1" x14ac:dyDescent="0.35">
      <c r="A7" s="11" t="s">
        <v>6</v>
      </c>
      <c r="B7" s="21" t="s">
        <v>11</v>
      </c>
      <c r="C7" s="22" t="s">
        <v>20</v>
      </c>
      <c r="D7" s="22" t="s">
        <v>25</v>
      </c>
      <c r="E7" s="22" t="s">
        <v>26</v>
      </c>
      <c r="F7" s="22" t="s">
        <v>27</v>
      </c>
      <c r="G7" s="20"/>
      <c r="H7" s="18" t="str">
        <f t="shared" ref="H7" ca="1" si="3">LEFT(TEXT(H5,"ddd"),1)</f>
        <v>v</v>
      </c>
      <c r="I7" s="18" t="str">
        <f t="shared" ref="I7:AQ7" ca="1" si="4">LEFT(TEXT(I5,"ddd"),1)</f>
        <v>s</v>
      </c>
      <c r="J7" s="18" t="str">
        <f t="shared" ca="1" si="4"/>
        <v>d</v>
      </c>
      <c r="K7" s="18" t="str">
        <f t="shared" ca="1" si="4"/>
        <v>l</v>
      </c>
      <c r="L7" s="18" t="str">
        <f t="shared" ca="1" si="4"/>
        <v>m</v>
      </c>
      <c r="M7" s="18" t="str">
        <f t="shared" ca="1" si="4"/>
        <v>m</v>
      </c>
      <c r="N7" s="18" t="str">
        <f t="shared" ca="1" si="4"/>
        <v>j</v>
      </c>
      <c r="O7" s="18" t="str">
        <f t="shared" ca="1" si="4"/>
        <v>v</v>
      </c>
      <c r="P7" s="18" t="str">
        <f t="shared" ca="1" si="4"/>
        <v>s</v>
      </c>
      <c r="Q7" s="18" t="str">
        <f t="shared" ca="1" si="4"/>
        <v>d</v>
      </c>
      <c r="R7" s="18" t="str">
        <f t="shared" ca="1" si="4"/>
        <v>l</v>
      </c>
      <c r="S7" s="18" t="str">
        <f t="shared" ca="1" si="4"/>
        <v>m</v>
      </c>
      <c r="T7" s="18" t="str">
        <f t="shared" ca="1" si="4"/>
        <v>m</v>
      </c>
      <c r="U7" s="18" t="str">
        <f t="shared" ca="1" si="4"/>
        <v>j</v>
      </c>
      <c r="V7" s="18" t="str">
        <f t="shared" ca="1" si="4"/>
        <v>v</v>
      </c>
      <c r="W7" s="18" t="str">
        <f t="shared" ca="1" si="4"/>
        <v>s</v>
      </c>
      <c r="X7" s="18" t="str">
        <f t="shared" ca="1" si="4"/>
        <v>d</v>
      </c>
      <c r="Y7" s="18" t="str">
        <f t="shared" ca="1" si="4"/>
        <v>l</v>
      </c>
      <c r="Z7" s="18" t="str">
        <f t="shared" ca="1" si="4"/>
        <v>m</v>
      </c>
      <c r="AA7" s="18" t="str">
        <f t="shared" ca="1" si="4"/>
        <v>m</v>
      </c>
      <c r="AB7" s="18" t="str">
        <f t="shared" ca="1" si="4"/>
        <v>j</v>
      </c>
      <c r="AC7" s="18" t="str">
        <f t="shared" ca="1" si="4"/>
        <v>v</v>
      </c>
      <c r="AD7" s="18" t="str">
        <f t="shared" ca="1" si="4"/>
        <v>s</v>
      </c>
      <c r="AE7" s="18" t="str">
        <f t="shared" ca="1" si="4"/>
        <v>d</v>
      </c>
      <c r="AF7" s="18" t="str">
        <f t="shared" ca="1" si="4"/>
        <v>l</v>
      </c>
      <c r="AG7" s="18" t="str">
        <f t="shared" ca="1" si="4"/>
        <v>m</v>
      </c>
      <c r="AH7" s="18" t="str">
        <f t="shared" ca="1" si="4"/>
        <v>m</v>
      </c>
      <c r="AI7" s="18" t="str">
        <f t="shared" ca="1" si="4"/>
        <v>j</v>
      </c>
      <c r="AJ7" s="18" t="str">
        <f t="shared" ca="1" si="4"/>
        <v>v</v>
      </c>
      <c r="AK7" s="18" t="str">
        <f t="shared" ca="1" si="4"/>
        <v>s</v>
      </c>
      <c r="AL7" s="18" t="str">
        <f t="shared" ca="1" si="4"/>
        <v>d</v>
      </c>
      <c r="AM7" s="18" t="str">
        <f t="shared" ca="1" si="4"/>
        <v>l</v>
      </c>
      <c r="AN7" s="18" t="str">
        <f t="shared" ca="1" si="4"/>
        <v>m</v>
      </c>
      <c r="AO7" s="18" t="str">
        <f t="shared" ca="1" si="4"/>
        <v>m</v>
      </c>
      <c r="AP7" s="18" t="str">
        <f t="shared" ca="1" si="4"/>
        <v>j</v>
      </c>
      <c r="AQ7" s="18" t="str">
        <f t="shared" ca="1" si="4"/>
        <v>v</v>
      </c>
      <c r="AR7" s="18" t="str">
        <f t="shared" ref="AR7:BK7" ca="1" si="5">LEFT(TEXT(AR5,"ddd"),1)</f>
        <v>s</v>
      </c>
      <c r="AS7" s="18" t="str">
        <f t="shared" ca="1" si="5"/>
        <v>d</v>
      </c>
      <c r="AT7" s="18" t="str">
        <f t="shared" ca="1" si="5"/>
        <v>l</v>
      </c>
      <c r="AU7" s="18" t="str">
        <f t="shared" ca="1" si="5"/>
        <v>m</v>
      </c>
      <c r="AV7" s="18" t="str">
        <f t="shared" ca="1" si="5"/>
        <v>m</v>
      </c>
      <c r="AW7" s="18" t="str">
        <f t="shared" ca="1" si="5"/>
        <v>j</v>
      </c>
      <c r="AX7" s="18" t="str">
        <f t="shared" ca="1" si="5"/>
        <v>v</v>
      </c>
      <c r="AY7" s="18" t="str">
        <f t="shared" ca="1" si="5"/>
        <v>s</v>
      </c>
      <c r="AZ7" s="18" t="str">
        <f t="shared" ca="1" si="5"/>
        <v>d</v>
      </c>
      <c r="BA7" s="18" t="str">
        <f t="shared" ca="1" si="5"/>
        <v>l</v>
      </c>
      <c r="BB7" s="18" t="str">
        <f t="shared" ca="1" si="5"/>
        <v>m</v>
      </c>
      <c r="BC7" s="18" t="str">
        <f t="shared" ca="1" si="5"/>
        <v>m</v>
      </c>
      <c r="BD7" s="18" t="str">
        <f t="shared" ca="1" si="5"/>
        <v>j</v>
      </c>
      <c r="BE7" s="18" t="str">
        <f t="shared" ca="1" si="5"/>
        <v>v</v>
      </c>
      <c r="BF7" s="18" t="str">
        <f t="shared" ca="1" si="5"/>
        <v>s</v>
      </c>
      <c r="BG7" s="18" t="str">
        <f t="shared" ca="1" si="5"/>
        <v>d</v>
      </c>
      <c r="BH7" s="18" t="str">
        <f t="shared" ca="1" si="5"/>
        <v>l</v>
      </c>
      <c r="BI7" s="18" t="str">
        <f t="shared" ca="1" si="5"/>
        <v>m</v>
      </c>
      <c r="BJ7" s="18" t="str">
        <f t="shared" ca="1" si="5"/>
        <v>m</v>
      </c>
      <c r="BK7" s="18" t="str">
        <f t="shared" ca="1" si="5"/>
        <v>j</v>
      </c>
    </row>
    <row r="8" spans="1:63" ht="30" hidden="1" customHeight="1" x14ac:dyDescent="0.3">
      <c r="A8" s="10" t="s">
        <v>7</v>
      </c>
      <c r="B8" s="39"/>
      <c r="C8" s="26"/>
      <c r="D8" s="26"/>
      <c r="E8" s="26"/>
      <c r="F8" s="26"/>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s="1" customFormat="1" ht="30" customHeight="1" x14ac:dyDescent="0.3">
      <c r="A9" s="11" t="s">
        <v>8</v>
      </c>
      <c r="B9" s="40" t="s">
        <v>38</v>
      </c>
      <c r="C9" s="26"/>
      <c r="D9"/>
      <c r="E9"/>
      <c r="F9"/>
      <c r="G9" s="19"/>
      <c r="H9" s="28" t="str">
        <f t="shared" ref="H9:Q28" ca="1" si="6">IF(AND($C9="Objetivo",H$5&gt;=$E9,H$5&lt;=$E9+$F9-1),2,IF(AND($C9="Hito",H$5&gt;=$E9,H$5&lt;=$E9+$F9-1),1,""))</f>
        <v/>
      </c>
      <c r="I9" s="28" t="str">
        <f t="shared" ca="1" si="6"/>
        <v/>
      </c>
      <c r="J9" s="28" t="str">
        <f t="shared" ca="1" si="6"/>
        <v/>
      </c>
      <c r="K9" s="28" t="str">
        <f t="shared" ca="1" si="6"/>
        <v/>
      </c>
      <c r="L9" s="28" t="str">
        <f t="shared" ca="1" si="6"/>
        <v/>
      </c>
      <c r="M9" s="28" t="str">
        <f t="shared" ca="1" si="6"/>
        <v/>
      </c>
      <c r="N9" s="28" t="str">
        <f t="shared" ca="1" si="6"/>
        <v/>
      </c>
      <c r="O9" s="28" t="str">
        <f t="shared" ca="1" si="6"/>
        <v/>
      </c>
      <c r="P9" s="28" t="str">
        <f t="shared" ca="1" si="6"/>
        <v/>
      </c>
      <c r="Q9" s="28" t="str">
        <f t="shared" ca="1" si="6"/>
        <v/>
      </c>
      <c r="R9" s="28" t="str">
        <f t="shared" ref="R9:AA28" ca="1" si="7">IF(AND($C9="Objetivo",R$5&gt;=$E9,R$5&lt;=$E9+$F9-1),2,IF(AND($C9="Hito",R$5&gt;=$E9,R$5&lt;=$E9+$F9-1),1,""))</f>
        <v/>
      </c>
      <c r="S9" s="28" t="str">
        <f t="shared" ca="1" si="7"/>
        <v/>
      </c>
      <c r="T9" s="28" t="str">
        <f t="shared" ca="1" si="7"/>
        <v/>
      </c>
      <c r="U9" s="28" t="str">
        <f t="shared" ca="1" si="7"/>
        <v/>
      </c>
      <c r="V9" s="28" t="str">
        <f t="shared" ca="1" si="7"/>
        <v/>
      </c>
      <c r="W9" s="28" t="str">
        <f t="shared" ca="1" si="7"/>
        <v/>
      </c>
      <c r="X9" s="28" t="str">
        <f t="shared" ca="1" si="7"/>
        <v/>
      </c>
      <c r="Y9" s="28" t="str">
        <f t="shared" ca="1" si="7"/>
        <v/>
      </c>
      <c r="Z9" s="28" t="str">
        <f t="shared" ca="1" si="7"/>
        <v/>
      </c>
      <c r="AA9" s="28" t="str">
        <f t="shared" ca="1" si="7"/>
        <v/>
      </c>
      <c r="AB9" s="28" t="str">
        <f t="shared" ref="AB9:AK28" ca="1" si="8">IF(AND($C9="Objetivo",AB$5&gt;=$E9,AB$5&lt;=$E9+$F9-1),2,IF(AND($C9="Hito",AB$5&gt;=$E9,AB$5&lt;=$E9+$F9-1),1,""))</f>
        <v/>
      </c>
      <c r="AC9" s="28" t="str">
        <f t="shared" ca="1" si="8"/>
        <v/>
      </c>
      <c r="AD9" s="28" t="str">
        <f t="shared" ca="1" si="8"/>
        <v/>
      </c>
      <c r="AE9" s="28" t="str">
        <f t="shared" ca="1" si="8"/>
        <v/>
      </c>
      <c r="AF9" s="28" t="str">
        <f t="shared" ca="1" si="8"/>
        <v/>
      </c>
      <c r="AG9" s="28" t="str">
        <f t="shared" ca="1" si="8"/>
        <v/>
      </c>
      <c r="AH9" s="28" t="str">
        <f t="shared" ca="1" si="8"/>
        <v/>
      </c>
      <c r="AI9" s="28" t="str">
        <f t="shared" ca="1" si="8"/>
        <v/>
      </c>
      <c r="AJ9" s="28" t="str">
        <f t="shared" ca="1" si="8"/>
        <v/>
      </c>
      <c r="AK9" s="28" t="str">
        <f t="shared" ca="1" si="8"/>
        <v/>
      </c>
      <c r="AL9" s="28" t="str">
        <f t="shared" ref="AL9:AU28" ca="1" si="9">IF(AND($C9="Objetivo",AL$5&gt;=$E9,AL$5&lt;=$E9+$F9-1),2,IF(AND($C9="Hito",AL$5&gt;=$E9,AL$5&lt;=$E9+$F9-1),1,""))</f>
        <v/>
      </c>
      <c r="AM9" s="28" t="str">
        <f t="shared" ca="1" si="9"/>
        <v/>
      </c>
      <c r="AN9" s="28" t="str">
        <f t="shared" ca="1" si="9"/>
        <v/>
      </c>
      <c r="AO9" s="28" t="str">
        <f t="shared" ca="1" si="9"/>
        <v/>
      </c>
      <c r="AP9" s="28" t="str">
        <f t="shared" ca="1" si="9"/>
        <v/>
      </c>
      <c r="AQ9" s="28" t="str">
        <f t="shared" ca="1" si="9"/>
        <v/>
      </c>
      <c r="AR9" s="28" t="str">
        <f t="shared" ca="1" si="9"/>
        <v/>
      </c>
      <c r="AS9" s="28" t="str">
        <f t="shared" ca="1" si="9"/>
        <v/>
      </c>
      <c r="AT9" s="28" t="str">
        <f t="shared" ca="1" si="9"/>
        <v/>
      </c>
      <c r="AU9" s="28" t="str">
        <f t="shared" ca="1" si="9"/>
        <v/>
      </c>
      <c r="AV9" s="28" t="str">
        <f t="shared" ref="AV9:BE28" ca="1" si="10">IF(AND($C9="Objetivo",AV$5&gt;=$E9,AV$5&lt;=$E9+$F9-1),2,IF(AND($C9="Hito",AV$5&gt;=$E9,AV$5&lt;=$E9+$F9-1),1,""))</f>
        <v/>
      </c>
      <c r="AW9" s="28" t="str">
        <f t="shared" ca="1" si="10"/>
        <v/>
      </c>
      <c r="AX9" s="28" t="str">
        <f t="shared" ca="1" si="10"/>
        <v/>
      </c>
      <c r="AY9" s="28" t="str">
        <f t="shared" ca="1" si="10"/>
        <v/>
      </c>
      <c r="AZ9" s="28" t="str">
        <f t="shared" ca="1" si="10"/>
        <v/>
      </c>
      <c r="BA9" s="28" t="str">
        <f t="shared" ca="1" si="10"/>
        <v/>
      </c>
      <c r="BB9" s="28" t="str">
        <f t="shared" ca="1" si="10"/>
        <v/>
      </c>
      <c r="BC9" s="28" t="str">
        <f t="shared" ca="1" si="10"/>
        <v/>
      </c>
      <c r="BD9" s="28" t="str">
        <f t="shared" ca="1" si="10"/>
        <v/>
      </c>
      <c r="BE9" s="28" t="str">
        <f t="shared" ca="1" si="10"/>
        <v/>
      </c>
      <c r="BF9" s="28" t="str">
        <f t="shared" ref="BF9:BK28" ca="1" si="11">IF(AND($C9="Objetivo",BF$5&gt;=$E9,BF$5&lt;=$E9+$F9-1),2,IF(AND($C9="Hito",BF$5&gt;=$E9,BF$5&lt;=$E9+$F9-1),1,""))</f>
        <v/>
      </c>
      <c r="BG9" s="28" t="str">
        <f t="shared" ca="1" si="11"/>
        <v/>
      </c>
      <c r="BH9" s="28" t="str">
        <f t="shared" ca="1" si="11"/>
        <v/>
      </c>
      <c r="BI9" s="28" t="str">
        <f t="shared" ca="1" si="11"/>
        <v/>
      </c>
      <c r="BJ9" s="28" t="str">
        <f t="shared" ca="1" si="11"/>
        <v/>
      </c>
      <c r="BK9" s="28" t="str">
        <f t="shared" ca="1" si="11"/>
        <v/>
      </c>
    </row>
    <row r="10" spans="1:63" s="1" customFormat="1" ht="30" customHeight="1" x14ac:dyDescent="0.3">
      <c r="A10" s="11"/>
      <c r="B10" s="39" t="s">
        <v>39</v>
      </c>
      <c r="C10" s="26" t="s">
        <v>24</v>
      </c>
      <c r="D10" s="23">
        <v>1</v>
      </c>
      <c r="E10" s="24">
        <v>45835</v>
      </c>
      <c r="F10" s="25">
        <v>1</v>
      </c>
      <c r="G10" s="19"/>
      <c r="H10" s="28" t="str">
        <f t="shared" ca="1" si="6"/>
        <v/>
      </c>
      <c r="I10" s="28" t="str">
        <f t="shared" ca="1" si="6"/>
        <v/>
      </c>
      <c r="J10" s="28" t="str">
        <f t="shared" ca="1" si="6"/>
        <v/>
      </c>
      <c r="K10" s="28" t="str">
        <f t="shared" ca="1" si="6"/>
        <v/>
      </c>
      <c r="L10" s="28" t="str">
        <f t="shared" ca="1" si="6"/>
        <v/>
      </c>
      <c r="M10" s="28" t="str">
        <f t="shared" ca="1" si="6"/>
        <v/>
      </c>
      <c r="N10" s="28" t="str">
        <f t="shared" ca="1" si="6"/>
        <v/>
      </c>
      <c r="O10" s="28" t="str">
        <f t="shared" ca="1" si="6"/>
        <v/>
      </c>
      <c r="P10" s="28" t="str">
        <f t="shared" ca="1" si="6"/>
        <v/>
      </c>
      <c r="Q10" s="28" t="str">
        <f t="shared" ca="1" si="6"/>
        <v/>
      </c>
      <c r="R10" s="28" t="str">
        <f t="shared" ca="1" si="7"/>
        <v/>
      </c>
      <c r="S10" s="28" t="str">
        <f t="shared" ca="1" si="7"/>
        <v/>
      </c>
      <c r="T10" s="28" t="str">
        <f t="shared" ca="1" si="7"/>
        <v/>
      </c>
      <c r="U10" s="28" t="str">
        <f t="shared" ca="1" si="7"/>
        <v/>
      </c>
      <c r="V10" s="28" t="str">
        <f t="shared" ca="1" si="7"/>
        <v/>
      </c>
      <c r="W10" s="28" t="str">
        <f t="shared" ca="1" si="7"/>
        <v/>
      </c>
      <c r="X10" s="28" t="str">
        <f t="shared" ca="1" si="7"/>
        <v/>
      </c>
      <c r="Y10" s="28" t="str">
        <f t="shared" ca="1" si="7"/>
        <v/>
      </c>
      <c r="Z10" s="28" t="str">
        <f t="shared" ca="1" si="7"/>
        <v/>
      </c>
      <c r="AA10" s="28" t="str">
        <f t="shared" ca="1" si="7"/>
        <v/>
      </c>
      <c r="AB10" s="28" t="str">
        <f t="shared" ca="1" si="8"/>
        <v/>
      </c>
      <c r="AC10" s="28" t="str">
        <f t="shared" ca="1" si="8"/>
        <v/>
      </c>
      <c r="AD10" s="28" t="str">
        <f t="shared" ca="1" si="8"/>
        <v/>
      </c>
      <c r="AE10" s="28" t="str">
        <f t="shared" ca="1" si="8"/>
        <v/>
      </c>
      <c r="AF10" s="28" t="str">
        <f t="shared" ca="1" si="8"/>
        <v/>
      </c>
      <c r="AG10" s="28" t="str">
        <f t="shared" ca="1" si="8"/>
        <v/>
      </c>
      <c r="AH10" s="28" t="str">
        <f t="shared" ca="1" si="8"/>
        <v/>
      </c>
      <c r="AI10" s="28" t="str">
        <f t="shared" ca="1" si="8"/>
        <v/>
      </c>
      <c r="AJ10" s="28" t="str">
        <f t="shared" ca="1" si="8"/>
        <v/>
      </c>
      <c r="AK10" s="28" t="str">
        <f t="shared" ca="1" si="8"/>
        <v/>
      </c>
      <c r="AL10" s="28" t="str">
        <f t="shared" ca="1" si="9"/>
        <v/>
      </c>
      <c r="AM10" s="28" t="str">
        <f t="shared" ca="1" si="9"/>
        <v/>
      </c>
      <c r="AN10" s="28" t="str">
        <f t="shared" ca="1" si="9"/>
        <v/>
      </c>
      <c r="AO10" s="28" t="str">
        <f t="shared" ca="1" si="9"/>
        <v/>
      </c>
      <c r="AP10" s="28" t="str">
        <f t="shared" ca="1" si="9"/>
        <v/>
      </c>
      <c r="AQ10" s="28" t="str">
        <f t="shared" ca="1" si="9"/>
        <v/>
      </c>
      <c r="AR10" s="28" t="str">
        <f t="shared" ca="1" si="9"/>
        <v/>
      </c>
      <c r="AS10" s="28" t="str">
        <f t="shared" ca="1" si="9"/>
        <v/>
      </c>
      <c r="AT10" s="28" t="str">
        <f t="shared" ca="1" si="9"/>
        <v/>
      </c>
      <c r="AU10" s="28" t="str">
        <f t="shared" ca="1" si="9"/>
        <v/>
      </c>
      <c r="AV10" s="28" t="str">
        <f t="shared" ca="1" si="10"/>
        <v/>
      </c>
      <c r="AW10" s="28" t="str">
        <f t="shared" ca="1" si="10"/>
        <v/>
      </c>
      <c r="AX10" s="28" t="str">
        <f t="shared" ca="1" si="10"/>
        <v/>
      </c>
      <c r="AY10" s="28" t="str">
        <f t="shared" ca="1" si="10"/>
        <v/>
      </c>
      <c r="AZ10" s="28" t="str">
        <f t="shared" ca="1" si="10"/>
        <v/>
      </c>
      <c r="BA10" s="28" t="str">
        <f t="shared" ca="1" si="10"/>
        <v/>
      </c>
      <c r="BB10" s="28" t="str">
        <f t="shared" ca="1" si="10"/>
        <v/>
      </c>
      <c r="BC10" s="28" t="str">
        <f t="shared" ca="1" si="10"/>
        <v/>
      </c>
      <c r="BD10" s="28" t="str">
        <f t="shared" ca="1" si="10"/>
        <v/>
      </c>
      <c r="BE10" s="28" t="str">
        <f t="shared" ca="1" si="10"/>
        <v/>
      </c>
      <c r="BF10" s="28" t="str">
        <f t="shared" ca="1" si="11"/>
        <v/>
      </c>
      <c r="BG10" s="28" t="str">
        <f t="shared" ca="1" si="11"/>
        <v/>
      </c>
      <c r="BH10" s="28" t="str">
        <f t="shared" ca="1" si="11"/>
        <v/>
      </c>
      <c r="BI10" s="28" t="str">
        <f t="shared" ca="1" si="11"/>
        <v/>
      </c>
      <c r="BJ10" s="28" t="str">
        <f t="shared" ca="1" si="11"/>
        <v/>
      </c>
      <c r="BK10" s="28" t="str">
        <f t="shared" ca="1" si="11"/>
        <v/>
      </c>
    </row>
    <row r="11" spans="1:63" s="1" customFormat="1" ht="30" customHeight="1" x14ac:dyDescent="0.3">
      <c r="A11" s="11"/>
      <c r="B11" s="39" t="s">
        <v>40</v>
      </c>
      <c r="C11" s="26" t="s">
        <v>24</v>
      </c>
      <c r="D11" s="23">
        <v>1</v>
      </c>
      <c r="E11" s="24">
        <v>45835</v>
      </c>
      <c r="F11" s="25">
        <v>1</v>
      </c>
      <c r="G11" s="19"/>
      <c r="H11" s="28" t="str">
        <f t="shared" ca="1" si="6"/>
        <v/>
      </c>
      <c r="I11" s="28" t="str">
        <f t="shared" ca="1" si="6"/>
        <v/>
      </c>
      <c r="J11" s="28" t="str">
        <f t="shared" ca="1" si="6"/>
        <v/>
      </c>
      <c r="K11" s="28" t="str">
        <f t="shared" ca="1" si="6"/>
        <v/>
      </c>
      <c r="L11" s="28" t="str">
        <f t="shared" ca="1" si="6"/>
        <v/>
      </c>
      <c r="M11" s="28" t="str">
        <f t="shared" ca="1" si="6"/>
        <v/>
      </c>
      <c r="N11" s="28" t="str">
        <f t="shared" ca="1" si="6"/>
        <v/>
      </c>
      <c r="O11" s="28" t="str">
        <f t="shared" ca="1" si="6"/>
        <v/>
      </c>
      <c r="P11" s="28" t="str">
        <f t="shared" ca="1" si="6"/>
        <v/>
      </c>
      <c r="Q11" s="28" t="str">
        <f t="shared" ca="1" si="6"/>
        <v/>
      </c>
      <c r="R11" s="28" t="str">
        <f t="shared" ca="1" si="7"/>
        <v/>
      </c>
      <c r="S11" s="28" t="str">
        <f t="shared" ca="1" si="7"/>
        <v/>
      </c>
      <c r="T11" s="28" t="str">
        <f t="shared" ca="1" si="7"/>
        <v/>
      </c>
      <c r="U11" s="28" t="str">
        <f t="shared" ca="1" si="7"/>
        <v/>
      </c>
      <c r="V11" s="28" t="str">
        <f t="shared" ca="1" si="7"/>
        <v/>
      </c>
      <c r="W11" s="28" t="str">
        <f t="shared" ca="1" si="7"/>
        <v/>
      </c>
      <c r="X11" s="28" t="str">
        <f t="shared" ca="1" si="7"/>
        <v/>
      </c>
      <c r="Y11" s="28" t="str">
        <f t="shared" ca="1" si="7"/>
        <v/>
      </c>
      <c r="Z11" s="28" t="str">
        <f t="shared" ca="1" si="7"/>
        <v/>
      </c>
      <c r="AA11" s="28" t="str">
        <f t="shared" ca="1" si="7"/>
        <v/>
      </c>
      <c r="AB11" s="28" t="str">
        <f t="shared" ca="1" si="8"/>
        <v/>
      </c>
      <c r="AC11" s="28" t="str">
        <f t="shared" ca="1" si="8"/>
        <v/>
      </c>
      <c r="AD11" s="28" t="str">
        <f t="shared" ca="1" si="8"/>
        <v/>
      </c>
      <c r="AE11" s="28" t="str">
        <f t="shared" ca="1" si="8"/>
        <v/>
      </c>
      <c r="AF11" s="28" t="str">
        <f t="shared" ca="1" si="8"/>
        <v/>
      </c>
      <c r="AG11" s="28" t="str">
        <f t="shared" ca="1" si="8"/>
        <v/>
      </c>
      <c r="AH11" s="28" t="str">
        <f t="shared" ca="1" si="8"/>
        <v/>
      </c>
      <c r="AI11" s="28" t="str">
        <f t="shared" ca="1" si="8"/>
        <v/>
      </c>
      <c r="AJ11" s="28" t="str">
        <f t="shared" ca="1" si="8"/>
        <v/>
      </c>
      <c r="AK11" s="28" t="str">
        <f t="shared" ca="1" si="8"/>
        <v/>
      </c>
      <c r="AL11" s="28" t="str">
        <f t="shared" ca="1" si="9"/>
        <v/>
      </c>
      <c r="AM11" s="28" t="str">
        <f t="shared" ca="1" si="9"/>
        <v/>
      </c>
      <c r="AN11" s="28" t="str">
        <f t="shared" ca="1" si="9"/>
        <v/>
      </c>
      <c r="AO11" s="28" t="str">
        <f t="shared" ca="1" si="9"/>
        <v/>
      </c>
      <c r="AP11" s="28" t="str">
        <f t="shared" ca="1" si="9"/>
        <v/>
      </c>
      <c r="AQ11" s="28" t="str">
        <f t="shared" ca="1" si="9"/>
        <v/>
      </c>
      <c r="AR11" s="28" t="str">
        <f t="shared" ca="1" si="9"/>
        <v/>
      </c>
      <c r="AS11" s="28" t="str">
        <f t="shared" ca="1" si="9"/>
        <v/>
      </c>
      <c r="AT11" s="28" t="str">
        <f t="shared" ca="1" si="9"/>
        <v/>
      </c>
      <c r="AU11" s="28" t="str">
        <f t="shared" ca="1" si="9"/>
        <v/>
      </c>
      <c r="AV11" s="28" t="str">
        <f t="shared" ca="1" si="10"/>
        <v/>
      </c>
      <c r="AW11" s="28" t="str">
        <f t="shared" ca="1" si="10"/>
        <v/>
      </c>
      <c r="AX11" s="28" t="str">
        <f t="shared" ca="1" si="10"/>
        <v/>
      </c>
      <c r="AY11" s="28" t="str">
        <f t="shared" ca="1" si="10"/>
        <v/>
      </c>
      <c r="AZ11" s="28" t="str">
        <f t="shared" ca="1" si="10"/>
        <v/>
      </c>
      <c r="BA11" s="28" t="str">
        <f t="shared" ca="1" si="10"/>
        <v/>
      </c>
      <c r="BB11" s="28" t="str">
        <f t="shared" ca="1" si="10"/>
        <v/>
      </c>
      <c r="BC11" s="28" t="str">
        <f t="shared" ca="1" si="10"/>
        <v/>
      </c>
      <c r="BD11" s="28" t="str">
        <f t="shared" ca="1" si="10"/>
        <v/>
      </c>
      <c r="BE11" s="28" t="str">
        <f t="shared" ca="1" si="10"/>
        <v/>
      </c>
      <c r="BF11" s="28" t="str">
        <f t="shared" ca="1" si="11"/>
        <v/>
      </c>
      <c r="BG11" s="28" t="str">
        <f t="shared" ca="1" si="11"/>
        <v/>
      </c>
      <c r="BH11" s="28" t="str">
        <f t="shared" ca="1" si="11"/>
        <v/>
      </c>
      <c r="BI11" s="28" t="str">
        <f t="shared" ca="1" si="11"/>
        <v/>
      </c>
      <c r="BJ11" s="28" t="str">
        <f t="shared" ca="1" si="11"/>
        <v/>
      </c>
      <c r="BK11" s="28" t="str">
        <f t="shared" ca="1" si="11"/>
        <v/>
      </c>
    </row>
    <row r="12" spans="1:63" s="1" customFormat="1" ht="30" customHeight="1" x14ac:dyDescent="0.3">
      <c r="A12" s="10"/>
      <c r="B12" s="39" t="s">
        <v>41</v>
      </c>
      <c r="C12" s="26" t="s">
        <v>24</v>
      </c>
      <c r="D12" s="23">
        <v>1</v>
      </c>
      <c r="E12" s="24">
        <v>45835</v>
      </c>
      <c r="F12" s="25">
        <v>7</v>
      </c>
      <c r="G12" s="19"/>
      <c r="H12" s="28" t="str">
        <f t="shared" ca="1" si="6"/>
        <v/>
      </c>
      <c r="I12" s="28" t="str">
        <f t="shared" ca="1" si="6"/>
        <v/>
      </c>
      <c r="J12" s="28" t="str">
        <f t="shared" ca="1" si="6"/>
        <v/>
      </c>
      <c r="K12" s="28" t="str">
        <f t="shared" ca="1" si="6"/>
        <v/>
      </c>
      <c r="L12" s="28" t="str">
        <f t="shared" ca="1" si="6"/>
        <v/>
      </c>
      <c r="M12" s="28" t="str">
        <f t="shared" ca="1" si="6"/>
        <v/>
      </c>
      <c r="N12" s="28" t="str">
        <f t="shared" ca="1" si="6"/>
        <v/>
      </c>
      <c r="O12" s="28" t="str">
        <f t="shared" ca="1" si="6"/>
        <v/>
      </c>
      <c r="P12" s="28" t="str">
        <f t="shared" ca="1" si="6"/>
        <v/>
      </c>
      <c r="Q12" s="28" t="str">
        <f t="shared" ca="1" si="6"/>
        <v/>
      </c>
      <c r="R12" s="28" t="str">
        <f t="shared" ca="1" si="7"/>
        <v/>
      </c>
      <c r="S12" s="28" t="str">
        <f t="shared" ca="1" si="7"/>
        <v/>
      </c>
      <c r="T12" s="28" t="str">
        <f t="shared" ca="1" si="7"/>
        <v/>
      </c>
      <c r="U12" s="28" t="str">
        <f t="shared" ca="1" si="7"/>
        <v/>
      </c>
      <c r="V12" s="28" t="str">
        <f t="shared" ca="1" si="7"/>
        <v/>
      </c>
      <c r="W12" s="28" t="str">
        <f t="shared" ca="1" si="7"/>
        <v/>
      </c>
      <c r="X12" s="28" t="str">
        <f t="shared" ca="1" si="7"/>
        <v/>
      </c>
      <c r="Y12" s="28" t="str">
        <f t="shared" ca="1" si="7"/>
        <v/>
      </c>
      <c r="Z12" s="28" t="str">
        <f t="shared" ca="1" si="7"/>
        <v/>
      </c>
      <c r="AA12" s="28" t="str">
        <f t="shared" ca="1" si="7"/>
        <v/>
      </c>
      <c r="AB12" s="28" t="str">
        <f t="shared" ca="1" si="8"/>
        <v/>
      </c>
      <c r="AC12" s="28" t="str">
        <f t="shared" ca="1" si="8"/>
        <v/>
      </c>
      <c r="AD12" s="28" t="str">
        <f t="shared" ca="1" si="8"/>
        <v/>
      </c>
      <c r="AE12" s="28" t="str">
        <f t="shared" ca="1" si="8"/>
        <v/>
      </c>
      <c r="AF12" s="28" t="str">
        <f t="shared" ca="1" si="8"/>
        <v/>
      </c>
      <c r="AG12" s="28" t="str">
        <f t="shared" ca="1" si="8"/>
        <v/>
      </c>
      <c r="AH12" s="28" t="str">
        <f t="shared" ca="1" si="8"/>
        <v/>
      </c>
      <c r="AI12" s="28" t="str">
        <f t="shared" ca="1" si="8"/>
        <v/>
      </c>
      <c r="AJ12" s="28" t="str">
        <f t="shared" ca="1" si="8"/>
        <v/>
      </c>
      <c r="AK12" s="28" t="str">
        <f t="shared" ca="1" si="8"/>
        <v/>
      </c>
      <c r="AL12" s="28" t="str">
        <f t="shared" ca="1" si="9"/>
        <v/>
      </c>
      <c r="AM12" s="28" t="str">
        <f t="shared" ca="1" si="9"/>
        <v/>
      </c>
      <c r="AN12" s="28" t="str">
        <f t="shared" ca="1" si="9"/>
        <v/>
      </c>
      <c r="AO12" s="28" t="str">
        <f t="shared" ca="1" si="9"/>
        <v/>
      </c>
      <c r="AP12" s="28" t="str">
        <f t="shared" ca="1" si="9"/>
        <v/>
      </c>
      <c r="AQ12" s="28" t="str">
        <f t="shared" ca="1" si="9"/>
        <v/>
      </c>
      <c r="AR12" s="28" t="str">
        <f t="shared" ca="1" si="9"/>
        <v/>
      </c>
      <c r="AS12" s="28" t="str">
        <f t="shared" ca="1" si="9"/>
        <v/>
      </c>
      <c r="AT12" s="28" t="str">
        <f t="shared" ca="1" si="9"/>
        <v/>
      </c>
      <c r="AU12" s="28" t="str">
        <f t="shared" ca="1" si="9"/>
        <v/>
      </c>
      <c r="AV12" s="28" t="str">
        <f t="shared" ca="1" si="10"/>
        <v/>
      </c>
      <c r="AW12" s="28" t="str">
        <f t="shared" ca="1" si="10"/>
        <v/>
      </c>
      <c r="AX12" s="28" t="str">
        <f t="shared" ca="1" si="10"/>
        <v/>
      </c>
      <c r="AY12" s="28" t="str">
        <f t="shared" ca="1" si="10"/>
        <v/>
      </c>
      <c r="AZ12" s="28" t="str">
        <f t="shared" ca="1" si="10"/>
        <v/>
      </c>
      <c r="BA12" s="28" t="str">
        <f t="shared" ca="1" si="10"/>
        <v/>
      </c>
      <c r="BB12" s="28" t="str">
        <f t="shared" ca="1" si="10"/>
        <v/>
      </c>
      <c r="BC12" s="28" t="str">
        <f t="shared" ca="1" si="10"/>
        <v/>
      </c>
      <c r="BD12" s="28" t="str">
        <f t="shared" ca="1" si="10"/>
        <v/>
      </c>
      <c r="BE12" s="28" t="str">
        <f t="shared" ca="1" si="10"/>
        <v/>
      </c>
      <c r="BF12" s="28" t="str">
        <f t="shared" ca="1" si="11"/>
        <v/>
      </c>
      <c r="BG12" s="28" t="str">
        <f t="shared" ca="1" si="11"/>
        <v/>
      </c>
      <c r="BH12" s="28" t="str">
        <f t="shared" ca="1" si="11"/>
        <v/>
      </c>
      <c r="BI12" s="28" t="str">
        <f ca="1">IF(AND($C12="Objetivo",BI$5&gt;=$E12,BI$5&lt;=$E12+$F12-1),2,IF(AND($C12="Hito",BI$5&gt;=$E12,BI$5&lt;=$E12+$F12-1),1,""))</f>
        <v/>
      </c>
      <c r="BJ12" s="28" t="str">
        <f t="shared" ca="1" si="11"/>
        <v/>
      </c>
      <c r="BK12" s="28" t="str">
        <f t="shared" ca="1" si="11"/>
        <v/>
      </c>
    </row>
    <row r="13" spans="1:63" s="1" customFormat="1" ht="30" customHeight="1" x14ac:dyDescent="0.3">
      <c r="A13" s="10"/>
      <c r="B13" s="39" t="s">
        <v>42</v>
      </c>
      <c r="C13" s="26" t="s">
        <v>24</v>
      </c>
      <c r="D13" s="23">
        <v>1</v>
      </c>
      <c r="E13" s="24">
        <f>E10+10</f>
        <v>45845</v>
      </c>
      <c r="F13" s="25">
        <v>1</v>
      </c>
      <c r="G13" s="19"/>
      <c r="H13" s="28" t="str">
        <f t="shared" ref="H13:AM13" ca="1" si="12">IF(AND($C13="Objetivo",H$5&gt;=$E13,H$5&lt;=$E13+$F13-1),2,IF(AND($C13="Hito",H$5&gt;=$E13,H$5&lt;=$E13+$F13-1),1,""))</f>
        <v/>
      </c>
      <c r="I13" s="28" t="str">
        <f t="shared" ca="1" si="12"/>
        <v/>
      </c>
      <c r="J13" s="28" t="str">
        <f t="shared" ca="1" si="12"/>
        <v/>
      </c>
      <c r="K13" s="28" t="str">
        <f t="shared" ca="1" si="12"/>
        <v/>
      </c>
      <c r="L13" s="28" t="str">
        <f t="shared" ca="1" si="12"/>
        <v/>
      </c>
      <c r="M13" s="28" t="str">
        <f t="shared" ca="1" si="12"/>
        <v/>
      </c>
      <c r="N13" s="28" t="str">
        <f t="shared" ca="1" si="12"/>
        <v/>
      </c>
      <c r="O13" s="28" t="str">
        <f t="shared" ca="1" si="12"/>
        <v/>
      </c>
      <c r="P13" s="28" t="str">
        <f t="shared" ca="1" si="12"/>
        <v/>
      </c>
      <c r="Q13" s="28" t="str">
        <f t="shared" ca="1" si="12"/>
        <v/>
      </c>
      <c r="R13" s="28" t="str">
        <f t="shared" ca="1" si="12"/>
        <v/>
      </c>
      <c r="S13" s="28" t="str">
        <f t="shared" ca="1" si="12"/>
        <v/>
      </c>
      <c r="T13" s="28" t="str">
        <f t="shared" ca="1" si="12"/>
        <v/>
      </c>
      <c r="U13" s="28" t="str">
        <f t="shared" ca="1" si="12"/>
        <v/>
      </c>
      <c r="V13" s="28" t="str">
        <f t="shared" ca="1" si="12"/>
        <v/>
      </c>
      <c r="W13" s="28" t="str">
        <f t="shared" ca="1" si="12"/>
        <v/>
      </c>
      <c r="X13" s="28" t="str">
        <f t="shared" ca="1" si="12"/>
        <v/>
      </c>
      <c r="Y13" s="28" t="str">
        <f t="shared" ca="1" si="12"/>
        <v/>
      </c>
      <c r="Z13" s="28" t="str">
        <f t="shared" ca="1" si="12"/>
        <v/>
      </c>
      <c r="AA13" s="28" t="str">
        <f t="shared" ca="1" si="12"/>
        <v/>
      </c>
      <c r="AB13" s="28" t="str">
        <f t="shared" ca="1" si="12"/>
        <v/>
      </c>
      <c r="AC13" s="28" t="str">
        <f t="shared" ca="1" si="12"/>
        <v/>
      </c>
      <c r="AD13" s="28" t="str">
        <f t="shared" ca="1" si="12"/>
        <v/>
      </c>
      <c r="AE13" s="28" t="str">
        <f t="shared" ca="1" si="12"/>
        <v/>
      </c>
      <c r="AF13" s="28" t="str">
        <f t="shared" ca="1" si="12"/>
        <v/>
      </c>
      <c r="AG13" s="28" t="str">
        <f t="shared" ca="1" si="12"/>
        <v/>
      </c>
      <c r="AH13" s="28" t="str">
        <f t="shared" ca="1" si="12"/>
        <v/>
      </c>
      <c r="AI13" s="28" t="str">
        <f t="shared" ca="1" si="12"/>
        <v/>
      </c>
      <c r="AJ13" s="28" t="str">
        <f t="shared" ca="1" si="12"/>
        <v/>
      </c>
      <c r="AK13" s="28" t="str">
        <f t="shared" ca="1" si="12"/>
        <v/>
      </c>
      <c r="AL13" s="28" t="str">
        <f t="shared" ca="1" si="12"/>
        <v/>
      </c>
      <c r="AM13" s="28" t="str">
        <f t="shared" ca="1" si="12"/>
        <v/>
      </c>
      <c r="AN13" s="28" t="str">
        <f t="shared" ca="1" si="9"/>
        <v/>
      </c>
      <c r="AO13" s="28" t="str">
        <f t="shared" ca="1" si="9"/>
        <v/>
      </c>
      <c r="AP13" s="28" t="str">
        <f t="shared" ca="1" si="9"/>
        <v/>
      </c>
      <c r="AQ13" s="28" t="str">
        <f t="shared" ca="1" si="9"/>
        <v/>
      </c>
      <c r="AR13" s="28" t="str">
        <f t="shared" ca="1" si="9"/>
        <v/>
      </c>
      <c r="AS13" s="28" t="str">
        <f t="shared" ca="1" si="9"/>
        <v/>
      </c>
      <c r="AT13" s="28" t="str">
        <f t="shared" ca="1" si="9"/>
        <v/>
      </c>
      <c r="AU13" s="28" t="str">
        <f t="shared" ca="1" si="9"/>
        <v/>
      </c>
      <c r="AV13" s="28" t="str">
        <f t="shared" ca="1" si="10"/>
        <v/>
      </c>
      <c r="AW13" s="28" t="str">
        <f t="shared" ca="1" si="10"/>
        <v/>
      </c>
      <c r="AX13" s="28" t="str">
        <f t="shared" ca="1" si="10"/>
        <v/>
      </c>
      <c r="AY13" s="28" t="str">
        <f t="shared" ca="1" si="10"/>
        <v/>
      </c>
      <c r="AZ13" s="28" t="str">
        <f t="shared" ca="1" si="10"/>
        <v/>
      </c>
      <c r="BA13" s="28" t="str">
        <f t="shared" ca="1" si="10"/>
        <v/>
      </c>
      <c r="BB13" s="28" t="str">
        <f t="shared" ca="1" si="10"/>
        <v/>
      </c>
      <c r="BC13" s="28" t="str">
        <f t="shared" ca="1" si="10"/>
        <v/>
      </c>
      <c r="BD13" s="28" t="str">
        <f t="shared" ca="1" si="10"/>
        <v/>
      </c>
      <c r="BE13" s="28" t="str">
        <f t="shared" ca="1" si="10"/>
        <v/>
      </c>
      <c r="BF13" s="28" t="str">
        <f t="shared" ca="1" si="11"/>
        <v/>
      </c>
      <c r="BG13" s="28" t="str">
        <f t="shared" ca="1" si="11"/>
        <v/>
      </c>
      <c r="BH13" s="28" t="str">
        <f t="shared" ca="1" si="11"/>
        <v/>
      </c>
      <c r="BI13" s="28" t="str">
        <f ca="1">IF(AND($C13="Objetivo",BI$5&gt;=$E13,BI$5&lt;=$E13+$F13-1),2,IF(AND($C13="Hito",BI$5&gt;=$E13,BI$5&lt;=$E13+$F13-1),1,""))</f>
        <v/>
      </c>
      <c r="BJ13" s="28" t="str">
        <f ca="1">IF(AND($C13="Objetivo",BJ$5&gt;=$E13,BJ$5&lt;=$E13+$F13-1),2,IF(AND($C13="Hito",BJ$5&gt;=$E13,BJ$5&lt;=$E13+$F13-1),1,""))</f>
        <v/>
      </c>
      <c r="BK13" s="28" t="str">
        <f ca="1">IF(AND($C13="Objetivo",BK$5&gt;=$E13,BK$5&lt;=$E13+$F13-1),2,IF(AND($C13="Hito",BK$5&gt;=$E13,BK$5&lt;=$E13+$F13-1),1,""))</f>
        <v/>
      </c>
    </row>
    <row r="14" spans="1:63" s="1" customFormat="1" ht="30" customHeight="1" x14ac:dyDescent="0.3">
      <c r="A14" s="10"/>
      <c r="B14" s="39" t="s">
        <v>43</v>
      </c>
      <c r="C14" s="26" t="s">
        <v>24</v>
      </c>
      <c r="D14" s="23">
        <v>1</v>
      </c>
      <c r="E14" s="24">
        <v>45845</v>
      </c>
      <c r="F14" s="25">
        <v>1</v>
      </c>
      <c r="G14" s="19"/>
      <c r="H14" s="28" t="str">
        <f t="shared" ref="H14:BK15" ca="1" si="13">IF(AND($C14="Objetivo",H$5&gt;=$E14,H$5&lt;=$E14+$F14-1),2,IF(AND($C14="Hito",H$5&gt;=$E14,H$5&lt;=$E14+$F14-1),1,""))</f>
        <v/>
      </c>
      <c r="I14" s="28" t="str">
        <f t="shared" ca="1" si="13"/>
        <v/>
      </c>
      <c r="J14" s="28" t="str">
        <f t="shared" ca="1" si="13"/>
        <v/>
      </c>
      <c r="K14" s="28" t="str">
        <f t="shared" ca="1" si="13"/>
        <v/>
      </c>
      <c r="L14" s="28" t="str">
        <f t="shared" ca="1" si="13"/>
        <v/>
      </c>
      <c r="M14" s="28" t="str">
        <f t="shared" ca="1" si="13"/>
        <v/>
      </c>
      <c r="N14" s="28" t="str">
        <f t="shared" ca="1" si="13"/>
        <v/>
      </c>
      <c r="O14" s="28" t="str">
        <f t="shared" ca="1" si="13"/>
        <v/>
      </c>
      <c r="P14" s="28" t="str">
        <f t="shared" ca="1" si="13"/>
        <v/>
      </c>
      <c r="Q14" s="28" t="str">
        <f t="shared" ca="1" si="13"/>
        <v/>
      </c>
      <c r="R14" s="28" t="str">
        <f t="shared" ca="1" si="13"/>
        <v/>
      </c>
      <c r="S14" s="28" t="str">
        <f t="shared" ca="1" si="13"/>
        <v/>
      </c>
      <c r="T14" s="28" t="str">
        <f t="shared" ca="1" si="13"/>
        <v/>
      </c>
      <c r="U14" s="28" t="str">
        <f t="shared" ca="1" si="13"/>
        <v/>
      </c>
      <c r="V14" s="28" t="str">
        <f t="shared" ca="1" si="13"/>
        <v/>
      </c>
      <c r="W14" s="28" t="str">
        <f t="shared" ca="1" si="13"/>
        <v/>
      </c>
      <c r="X14" s="28" t="str">
        <f t="shared" ca="1" si="13"/>
        <v/>
      </c>
      <c r="Y14" s="28" t="str">
        <f t="shared" ca="1" si="13"/>
        <v/>
      </c>
      <c r="Z14" s="28" t="str">
        <f t="shared" ca="1" si="13"/>
        <v/>
      </c>
      <c r="AA14" s="28" t="str">
        <f t="shared" ca="1" si="13"/>
        <v/>
      </c>
      <c r="AB14" s="28" t="str">
        <f t="shared" ca="1" si="13"/>
        <v/>
      </c>
      <c r="AC14" s="28" t="str">
        <f t="shared" ca="1" si="13"/>
        <v/>
      </c>
      <c r="AD14" s="28" t="str">
        <f t="shared" ca="1" si="13"/>
        <v/>
      </c>
      <c r="AE14" s="28" t="str">
        <f t="shared" ca="1" si="13"/>
        <v/>
      </c>
      <c r="AF14" s="28" t="str">
        <f t="shared" ca="1" si="13"/>
        <v/>
      </c>
      <c r="AG14" s="28" t="str">
        <f t="shared" ca="1" si="13"/>
        <v/>
      </c>
      <c r="AH14" s="28" t="str">
        <f t="shared" ca="1" si="13"/>
        <v/>
      </c>
      <c r="AI14" s="28" t="str">
        <f t="shared" ca="1" si="13"/>
        <v/>
      </c>
      <c r="AJ14" s="28" t="str">
        <f t="shared" ca="1" si="13"/>
        <v/>
      </c>
      <c r="AK14" s="28" t="str">
        <f t="shared" ca="1" si="13"/>
        <v/>
      </c>
      <c r="AL14" s="28" t="str">
        <f t="shared" ca="1" si="13"/>
        <v/>
      </c>
      <c r="AM14" s="28" t="str">
        <f t="shared" ca="1" si="13"/>
        <v/>
      </c>
      <c r="AN14" s="28" t="str">
        <f t="shared" ca="1" si="13"/>
        <v/>
      </c>
      <c r="AO14" s="28" t="str">
        <f t="shared" ca="1" si="13"/>
        <v/>
      </c>
      <c r="AP14" s="28" t="str">
        <f t="shared" ca="1" si="13"/>
        <v/>
      </c>
      <c r="AQ14" s="28" t="str">
        <f t="shared" ca="1" si="13"/>
        <v/>
      </c>
      <c r="AR14" s="28" t="str">
        <f t="shared" ca="1" si="13"/>
        <v/>
      </c>
      <c r="AS14" s="28" t="str">
        <f t="shared" ca="1" si="13"/>
        <v/>
      </c>
      <c r="AT14" s="28" t="str">
        <f t="shared" ca="1" si="13"/>
        <v/>
      </c>
      <c r="AU14" s="28" t="str">
        <f t="shared" ca="1" si="13"/>
        <v/>
      </c>
      <c r="AV14" s="28" t="str">
        <f t="shared" ca="1" si="13"/>
        <v/>
      </c>
      <c r="AW14" s="28" t="str">
        <f t="shared" ca="1" si="13"/>
        <v/>
      </c>
      <c r="AX14" s="28" t="str">
        <f t="shared" ca="1" si="13"/>
        <v/>
      </c>
      <c r="AY14" s="28" t="str">
        <f t="shared" ca="1" si="13"/>
        <v/>
      </c>
      <c r="AZ14" s="28" t="str">
        <f t="shared" ca="1" si="13"/>
        <v/>
      </c>
      <c r="BA14" s="28" t="str">
        <f t="shared" ca="1" si="13"/>
        <v/>
      </c>
      <c r="BB14" s="28" t="str">
        <f t="shared" ca="1" si="13"/>
        <v/>
      </c>
      <c r="BC14" s="28" t="str">
        <f t="shared" ca="1" si="13"/>
        <v/>
      </c>
      <c r="BD14" s="28" t="str">
        <f t="shared" ca="1" si="13"/>
        <v/>
      </c>
      <c r="BE14" s="28" t="str">
        <f t="shared" ca="1" si="13"/>
        <v/>
      </c>
      <c r="BF14" s="28" t="str">
        <f t="shared" ca="1" si="13"/>
        <v/>
      </c>
      <c r="BG14" s="28" t="str">
        <f t="shared" ca="1" si="13"/>
        <v/>
      </c>
      <c r="BH14" s="28" t="str">
        <f t="shared" ca="1" si="13"/>
        <v/>
      </c>
      <c r="BI14" s="28" t="str">
        <f t="shared" ca="1" si="13"/>
        <v/>
      </c>
      <c r="BJ14" s="28" t="str">
        <f t="shared" ca="1" si="13"/>
        <v/>
      </c>
      <c r="BK14" s="28" t="str">
        <f t="shared" ca="1" si="13"/>
        <v/>
      </c>
    </row>
    <row r="15" spans="1:63" s="1" customFormat="1" ht="30" customHeight="1" x14ac:dyDescent="0.3">
      <c r="A15" s="10"/>
      <c r="B15" s="39" t="s">
        <v>45</v>
      </c>
      <c r="C15" s="26" t="s">
        <v>24</v>
      </c>
      <c r="D15" s="23">
        <v>1</v>
      </c>
      <c r="E15" s="24">
        <v>45845</v>
      </c>
      <c r="F15" s="25">
        <v>1</v>
      </c>
      <c r="G15" s="19"/>
      <c r="H15" s="28" t="str">
        <f t="shared" ca="1" si="13"/>
        <v/>
      </c>
      <c r="I15" s="28" t="str">
        <f t="shared" ca="1" si="13"/>
        <v/>
      </c>
      <c r="J15" s="28" t="str">
        <f t="shared" ca="1" si="13"/>
        <v/>
      </c>
      <c r="K15" s="28" t="str">
        <f t="shared" ca="1" si="13"/>
        <v/>
      </c>
      <c r="L15" s="28" t="str">
        <f t="shared" ca="1" si="13"/>
        <v/>
      </c>
      <c r="M15" s="28" t="str">
        <f t="shared" ca="1" si="13"/>
        <v/>
      </c>
      <c r="N15" s="28" t="str">
        <f t="shared" ca="1" si="13"/>
        <v/>
      </c>
      <c r="O15" s="28" t="str">
        <f t="shared" ca="1" si="13"/>
        <v/>
      </c>
      <c r="P15" s="28" t="str">
        <f t="shared" ca="1" si="13"/>
        <v/>
      </c>
      <c r="Q15" s="28" t="str">
        <f t="shared" ca="1" si="13"/>
        <v/>
      </c>
      <c r="R15" s="28" t="str">
        <f t="shared" ca="1" si="13"/>
        <v/>
      </c>
      <c r="S15" s="28" t="str">
        <f t="shared" ca="1" si="13"/>
        <v/>
      </c>
      <c r="T15" s="28" t="str">
        <f t="shared" ca="1" si="13"/>
        <v/>
      </c>
      <c r="U15" s="28" t="str">
        <f t="shared" ca="1" si="13"/>
        <v/>
      </c>
      <c r="V15" s="28" t="str">
        <f t="shared" ca="1" si="13"/>
        <v/>
      </c>
      <c r="W15" s="28" t="str">
        <f t="shared" ca="1" si="13"/>
        <v/>
      </c>
      <c r="X15" s="28" t="str">
        <f t="shared" ca="1" si="13"/>
        <v/>
      </c>
      <c r="Y15" s="28" t="str">
        <f t="shared" ca="1" si="13"/>
        <v/>
      </c>
      <c r="Z15" s="28" t="str">
        <f t="shared" ca="1" si="13"/>
        <v/>
      </c>
      <c r="AA15" s="28" t="str">
        <f t="shared" ca="1" si="13"/>
        <v/>
      </c>
      <c r="AB15" s="28" t="str">
        <f t="shared" ca="1" si="13"/>
        <v/>
      </c>
      <c r="AC15" s="28" t="str">
        <f t="shared" ca="1" si="13"/>
        <v/>
      </c>
      <c r="AD15" s="28" t="str">
        <f t="shared" ca="1" si="13"/>
        <v/>
      </c>
      <c r="AE15" s="28" t="str">
        <f t="shared" ca="1" si="13"/>
        <v/>
      </c>
      <c r="AF15" s="28" t="str">
        <f t="shared" ca="1" si="13"/>
        <v/>
      </c>
      <c r="AG15" s="28" t="str">
        <f t="shared" ca="1" si="13"/>
        <v/>
      </c>
      <c r="AH15" s="28" t="str">
        <f t="shared" ca="1" si="13"/>
        <v/>
      </c>
      <c r="AI15" s="28" t="str">
        <f t="shared" ca="1" si="13"/>
        <v/>
      </c>
      <c r="AJ15" s="28" t="str">
        <f t="shared" ca="1" si="13"/>
        <v/>
      </c>
      <c r="AK15" s="28" t="str">
        <f t="shared" ca="1" si="13"/>
        <v/>
      </c>
      <c r="AL15" s="28" t="str">
        <f t="shared" ca="1" si="13"/>
        <v/>
      </c>
      <c r="AM15" s="28" t="str">
        <f t="shared" ca="1" si="13"/>
        <v/>
      </c>
      <c r="AN15" s="28" t="str">
        <f t="shared" ca="1" si="13"/>
        <v/>
      </c>
      <c r="AO15" s="28" t="str">
        <f t="shared" ca="1" si="13"/>
        <v/>
      </c>
      <c r="AP15" s="28" t="str">
        <f t="shared" ca="1" si="13"/>
        <v/>
      </c>
      <c r="AQ15" s="28" t="str">
        <f t="shared" ca="1" si="13"/>
        <v/>
      </c>
      <c r="AR15" s="28" t="str">
        <f t="shared" ca="1" si="13"/>
        <v/>
      </c>
      <c r="AS15" s="28" t="str">
        <f t="shared" ca="1" si="13"/>
        <v/>
      </c>
      <c r="AT15" s="28" t="str">
        <f t="shared" ca="1" si="13"/>
        <v/>
      </c>
      <c r="AU15" s="28" t="str">
        <f t="shared" ca="1" si="13"/>
        <v/>
      </c>
      <c r="AV15" s="28" t="str">
        <f t="shared" ca="1" si="13"/>
        <v/>
      </c>
      <c r="AW15" s="28" t="str">
        <f t="shared" ca="1" si="13"/>
        <v/>
      </c>
      <c r="AX15" s="28" t="str">
        <f t="shared" ca="1" si="13"/>
        <v/>
      </c>
      <c r="AY15" s="28" t="str">
        <f t="shared" ca="1" si="13"/>
        <v/>
      </c>
      <c r="AZ15" s="28" t="str">
        <f t="shared" ca="1" si="13"/>
        <v/>
      </c>
      <c r="BA15" s="28" t="str">
        <f t="shared" ca="1" si="13"/>
        <v/>
      </c>
      <c r="BB15" s="28" t="str">
        <f t="shared" ca="1" si="13"/>
        <v/>
      </c>
      <c r="BC15" s="28" t="str">
        <f t="shared" ca="1" si="13"/>
        <v/>
      </c>
      <c r="BD15" s="28" t="str">
        <f t="shared" ca="1" si="13"/>
        <v/>
      </c>
      <c r="BE15" s="28" t="str">
        <f t="shared" ca="1" si="13"/>
        <v/>
      </c>
      <c r="BF15" s="28" t="str">
        <f t="shared" ca="1" si="13"/>
        <v/>
      </c>
      <c r="BG15" s="28" t="str">
        <f t="shared" ca="1" si="13"/>
        <v/>
      </c>
      <c r="BH15" s="28" t="str">
        <f t="shared" ca="1" si="13"/>
        <v/>
      </c>
      <c r="BI15" s="28" t="str">
        <f t="shared" ca="1" si="13"/>
        <v/>
      </c>
      <c r="BJ15" s="28" t="str">
        <f t="shared" ca="1" si="13"/>
        <v/>
      </c>
      <c r="BK15" s="28" t="str">
        <f t="shared" ca="1" si="13"/>
        <v/>
      </c>
    </row>
    <row r="16" spans="1:63" ht="30" customHeight="1" x14ac:dyDescent="0.3">
      <c r="B16" s="39" t="s">
        <v>44</v>
      </c>
      <c r="C16" s="26" t="s">
        <v>24</v>
      </c>
      <c r="D16" s="23">
        <v>1</v>
      </c>
      <c r="E16" s="24">
        <v>45845</v>
      </c>
      <c r="F16" s="25">
        <v>1</v>
      </c>
      <c r="H16" s="28" t="str">
        <f t="shared" ref="H16:AM16" ca="1" si="14">IF(AND($C16="Objetivo",H$5&gt;=$E16,H$5&lt;=$E16+$F16-1),2,IF(AND($C16="Hito",H$5&gt;=$E16,H$5&lt;=$E16+$F16-1),1,""))</f>
        <v/>
      </c>
      <c r="I16" s="28" t="str">
        <f t="shared" ca="1" si="14"/>
        <v/>
      </c>
      <c r="J16" s="28" t="str">
        <f t="shared" ca="1" si="14"/>
        <v/>
      </c>
      <c r="K16" s="28" t="str">
        <f t="shared" ca="1" si="14"/>
        <v/>
      </c>
      <c r="L16" s="28" t="str">
        <f t="shared" ca="1" si="14"/>
        <v/>
      </c>
      <c r="M16" s="28" t="str">
        <f t="shared" ca="1" si="14"/>
        <v/>
      </c>
      <c r="N16" s="28" t="str">
        <f t="shared" ca="1" si="14"/>
        <v/>
      </c>
      <c r="O16" s="28" t="str">
        <f t="shared" ca="1" si="14"/>
        <v/>
      </c>
      <c r="P16" s="28" t="str">
        <f t="shared" ca="1" si="14"/>
        <v/>
      </c>
      <c r="Q16" s="28" t="str">
        <f t="shared" ca="1" si="14"/>
        <v/>
      </c>
      <c r="R16" s="28" t="str">
        <f t="shared" ca="1" si="14"/>
        <v/>
      </c>
      <c r="S16" s="28" t="str">
        <f t="shared" ca="1" si="14"/>
        <v/>
      </c>
      <c r="T16" s="28" t="str">
        <f t="shared" ca="1" si="14"/>
        <v/>
      </c>
      <c r="U16" s="28" t="str">
        <f t="shared" ca="1" si="14"/>
        <v/>
      </c>
      <c r="V16" s="28" t="str">
        <f t="shared" ca="1" si="14"/>
        <v/>
      </c>
      <c r="W16" s="28" t="str">
        <f t="shared" ca="1" si="14"/>
        <v/>
      </c>
      <c r="X16" s="28" t="str">
        <f t="shared" ca="1" si="14"/>
        <v/>
      </c>
      <c r="Y16" s="28" t="str">
        <f t="shared" ca="1" si="14"/>
        <v/>
      </c>
      <c r="Z16" s="28" t="str">
        <f t="shared" ca="1" si="14"/>
        <v/>
      </c>
      <c r="AA16" s="28" t="str">
        <f t="shared" ca="1" si="14"/>
        <v/>
      </c>
      <c r="AB16" s="28" t="str">
        <f t="shared" ca="1" si="14"/>
        <v/>
      </c>
      <c r="AC16" s="28" t="str">
        <f t="shared" ca="1" si="14"/>
        <v/>
      </c>
      <c r="AD16" s="28" t="str">
        <f t="shared" ca="1" si="14"/>
        <v/>
      </c>
      <c r="AE16" s="28" t="str">
        <f t="shared" ca="1" si="14"/>
        <v/>
      </c>
      <c r="AF16" s="28" t="str">
        <f t="shared" ca="1" si="14"/>
        <v/>
      </c>
      <c r="AG16" s="28" t="str">
        <f t="shared" ca="1" si="14"/>
        <v/>
      </c>
      <c r="AH16" s="28" t="str">
        <f t="shared" ca="1" si="14"/>
        <v/>
      </c>
      <c r="AI16" s="28" t="str">
        <f t="shared" ca="1" si="14"/>
        <v/>
      </c>
      <c r="AJ16" s="28" t="str">
        <f t="shared" ca="1" si="14"/>
        <v/>
      </c>
      <c r="AK16" s="28" t="str">
        <f t="shared" ca="1" si="14"/>
        <v/>
      </c>
      <c r="AL16" s="28" t="str">
        <f t="shared" ca="1" si="14"/>
        <v/>
      </c>
      <c r="AM16" s="28" t="str">
        <f t="shared" ca="1" si="14"/>
        <v/>
      </c>
      <c r="AN16" s="28" t="str">
        <f t="shared" ref="AN16:BK16" ca="1" si="15">IF(AND($C16="Objetivo",AN$5&gt;=$E16,AN$5&lt;=$E16+$F16-1),2,IF(AND($C16="Hito",AN$5&gt;=$E16,AN$5&lt;=$E16+$F16-1),1,""))</f>
        <v/>
      </c>
      <c r="AO16" s="28" t="str">
        <f t="shared" ca="1" si="15"/>
        <v/>
      </c>
      <c r="AP16" s="28" t="str">
        <f t="shared" ca="1" si="15"/>
        <v/>
      </c>
      <c r="AQ16" s="28" t="str">
        <f t="shared" ca="1" si="15"/>
        <v/>
      </c>
      <c r="AR16" s="28" t="str">
        <f t="shared" ca="1" si="15"/>
        <v/>
      </c>
      <c r="AS16" s="28" t="str">
        <f t="shared" ca="1" si="15"/>
        <v/>
      </c>
      <c r="AT16" s="28" t="str">
        <f t="shared" ca="1" si="15"/>
        <v/>
      </c>
      <c r="AU16" s="28" t="str">
        <f t="shared" ca="1" si="15"/>
        <v/>
      </c>
      <c r="AV16" s="28" t="str">
        <f t="shared" ca="1" si="15"/>
        <v/>
      </c>
      <c r="AW16" s="28" t="str">
        <f t="shared" ca="1" si="15"/>
        <v/>
      </c>
      <c r="AX16" s="28" t="str">
        <f t="shared" ca="1" si="15"/>
        <v/>
      </c>
      <c r="AY16" s="28" t="str">
        <f t="shared" ca="1" si="15"/>
        <v/>
      </c>
      <c r="AZ16" s="28" t="str">
        <f t="shared" ca="1" si="15"/>
        <v/>
      </c>
      <c r="BA16" s="28" t="str">
        <f t="shared" ca="1" si="15"/>
        <v/>
      </c>
      <c r="BB16" s="28" t="str">
        <f t="shared" ca="1" si="15"/>
        <v/>
      </c>
      <c r="BC16" s="28" t="str">
        <f t="shared" ca="1" si="15"/>
        <v/>
      </c>
      <c r="BD16" s="28" t="str">
        <f t="shared" ca="1" si="15"/>
        <v/>
      </c>
      <c r="BE16" s="28" t="str">
        <f t="shared" ca="1" si="15"/>
        <v/>
      </c>
      <c r="BF16" s="28" t="str">
        <f t="shared" ca="1" si="15"/>
        <v/>
      </c>
      <c r="BG16" s="28" t="str">
        <f t="shared" ca="1" si="15"/>
        <v/>
      </c>
      <c r="BH16" s="28" t="str">
        <f t="shared" ca="1" si="15"/>
        <v/>
      </c>
      <c r="BI16" s="28" t="str">
        <f t="shared" ca="1" si="15"/>
        <v/>
      </c>
      <c r="BJ16" s="28" t="str">
        <f t="shared" ca="1" si="15"/>
        <v/>
      </c>
      <c r="BK16" s="28" t="str">
        <f t="shared" ca="1" si="15"/>
        <v/>
      </c>
    </row>
    <row r="17" spans="1:63" s="41" customFormat="1" ht="30" customHeight="1" x14ac:dyDescent="0.3">
      <c r="A17" s="10"/>
      <c r="B17" s="39" t="s">
        <v>46</v>
      </c>
      <c r="C17" s="26" t="s">
        <v>24</v>
      </c>
      <c r="D17" s="23">
        <v>1</v>
      </c>
      <c r="E17" s="24">
        <v>45845</v>
      </c>
      <c r="F17" s="25">
        <v>1</v>
      </c>
      <c r="H17" s="28" t="str">
        <f t="shared" ca="1" si="6"/>
        <v/>
      </c>
      <c r="I17" s="28" t="str">
        <f t="shared" ca="1" si="6"/>
        <v/>
      </c>
      <c r="J17" s="28" t="str">
        <f t="shared" ca="1" si="6"/>
        <v/>
      </c>
      <c r="K17" s="28" t="str">
        <f t="shared" ca="1" si="6"/>
        <v/>
      </c>
      <c r="L17" s="28" t="str">
        <f t="shared" ca="1" si="6"/>
        <v/>
      </c>
      <c r="M17" s="28" t="str">
        <f t="shared" ca="1" si="6"/>
        <v/>
      </c>
      <c r="N17" s="28" t="str">
        <f t="shared" ca="1" si="6"/>
        <v/>
      </c>
      <c r="O17" s="28" t="str">
        <f t="shared" ca="1" si="6"/>
        <v/>
      </c>
      <c r="P17" s="28" t="str">
        <f t="shared" ca="1" si="6"/>
        <v/>
      </c>
      <c r="Q17" s="28" t="str">
        <f t="shared" ca="1" si="6"/>
        <v/>
      </c>
      <c r="R17" s="28" t="str">
        <f t="shared" ca="1" si="7"/>
        <v/>
      </c>
      <c r="S17" s="28" t="str">
        <f t="shared" ca="1" si="7"/>
        <v/>
      </c>
      <c r="T17" s="28" t="str">
        <f t="shared" ca="1" si="7"/>
        <v/>
      </c>
      <c r="U17" s="28" t="str">
        <f t="shared" ca="1" si="7"/>
        <v/>
      </c>
      <c r="V17" s="28" t="str">
        <f t="shared" ca="1" si="7"/>
        <v/>
      </c>
      <c r="W17" s="28" t="str">
        <f t="shared" ca="1" si="7"/>
        <v/>
      </c>
      <c r="X17" s="28" t="str">
        <f t="shared" ca="1" si="7"/>
        <v/>
      </c>
      <c r="Y17" s="28" t="str">
        <f t="shared" ca="1" si="7"/>
        <v/>
      </c>
      <c r="Z17" s="28" t="str">
        <f t="shared" ca="1" si="7"/>
        <v/>
      </c>
      <c r="AA17" s="28" t="str">
        <f t="shared" ca="1" si="7"/>
        <v/>
      </c>
      <c r="AB17" s="28" t="str">
        <f t="shared" ca="1" si="8"/>
        <v/>
      </c>
      <c r="AC17" s="28" t="str">
        <f t="shared" ca="1" si="8"/>
        <v/>
      </c>
      <c r="AD17" s="28" t="str">
        <f t="shared" ca="1" si="8"/>
        <v/>
      </c>
      <c r="AE17" s="28" t="str">
        <f t="shared" ca="1" si="8"/>
        <v/>
      </c>
      <c r="AF17" s="28" t="str">
        <f t="shared" ca="1" si="8"/>
        <v/>
      </c>
      <c r="AG17" s="28" t="str">
        <f t="shared" ca="1" si="8"/>
        <v/>
      </c>
      <c r="AH17" s="28" t="str">
        <f t="shared" ca="1" si="8"/>
        <v/>
      </c>
      <c r="AI17" s="28" t="str">
        <f t="shared" ca="1" si="8"/>
        <v/>
      </c>
      <c r="AJ17" s="28" t="str">
        <f t="shared" ca="1" si="8"/>
        <v/>
      </c>
      <c r="AK17" s="28" t="str">
        <f t="shared" ca="1" si="8"/>
        <v/>
      </c>
      <c r="AL17" s="28" t="str">
        <f t="shared" ca="1" si="9"/>
        <v/>
      </c>
      <c r="AM17" s="28" t="str">
        <f t="shared" ca="1" si="9"/>
        <v/>
      </c>
      <c r="AN17" s="28" t="str">
        <f t="shared" ca="1" si="9"/>
        <v/>
      </c>
      <c r="AO17" s="28" t="str">
        <f t="shared" ca="1" si="9"/>
        <v/>
      </c>
      <c r="AP17" s="28" t="str">
        <f t="shared" ca="1" si="9"/>
        <v/>
      </c>
      <c r="AQ17" s="28" t="str">
        <f t="shared" ca="1" si="9"/>
        <v/>
      </c>
      <c r="AR17" s="28" t="str">
        <f t="shared" ca="1" si="9"/>
        <v/>
      </c>
      <c r="AS17" s="28" t="str">
        <f t="shared" ca="1" si="9"/>
        <v/>
      </c>
      <c r="AT17" s="28" t="str">
        <f t="shared" ca="1" si="9"/>
        <v/>
      </c>
      <c r="AU17" s="28" t="str">
        <f t="shared" ca="1" si="9"/>
        <v/>
      </c>
      <c r="AV17" s="28" t="str">
        <f t="shared" ca="1" si="10"/>
        <v/>
      </c>
      <c r="AW17" s="28" t="str">
        <f t="shared" ca="1" si="10"/>
        <v/>
      </c>
      <c r="AX17" s="28" t="str">
        <f t="shared" ca="1" si="10"/>
        <v/>
      </c>
      <c r="AY17" s="28" t="str">
        <f t="shared" ca="1" si="10"/>
        <v/>
      </c>
      <c r="AZ17" s="28" t="str">
        <f t="shared" ca="1" si="10"/>
        <v/>
      </c>
      <c r="BA17" s="28" t="str">
        <f t="shared" ca="1" si="10"/>
        <v/>
      </c>
      <c r="BB17" s="28" t="str">
        <f t="shared" ca="1" si="10"/>
        <v/>
      </c>
      <c r="BC17" s="28" t="str">
        <f t="shared" ca="1" si="10"/>
        <v/>
      </c>
      <c r="BD17" s="28" t="str">
        <f t="shared" ca="1" si="10"/>
        <v/>
      </c>
      <c r="BE17" s="28" t="str">
        <f t="shared" ca="1" si="10"/>
        <v/>
      </c>
      <c r="BF17" s="28" t="str">
        <f t="shared" ca="1" si="11"/>
        <v/>
      </c>
      <c r="BG17" s="28" t="str">
        <f t="shared" ca="1" si="11"/>
        <v/>
      </c>
      <c r="BH17" s="28" t="str">
        <f t="shared" ca="1" si="11"/>
        <v/>
      </c>
      <c r="BI17" s="28" t="str">
        <f t="shared" ca="1" si="11"/>
        <v/>
      </c>
      <c r="BJ17" s="28" t="str">
        <f t="shared" ca="1" si="11"/>
        <v/>
      </c>
      <c r="BK17" s="28" t="str">
        <f t="shared" ca="1" si="11"/>
        <v/>
      </c>
    </row>
    <row r="18" spans="1:63" s="41" customFormat="1" ht="30" customHeight="1" x14ac:dyDescent="0.3">
      <c r="A18" s="10"/>
      <c r="B18" s="39" t="s">
        <v>47</v>
      </c>
      <c r="C18" s="26" t="s">
        <v>24</v>
      </c>
      <c r="D18" s="23">
        <v>1</v>
      </c>
      <c r="E18" s="24">
        <v>45845</v>
      </c>
      <c r="F18" s="25">
        <v>1</v>
      </c>
      <c r="H18" s="28" t="str">
        <f t="shared" ca="1" si="6"/>
        <v/>
      </c>
      <c r="I18" s="28" t="str">
        <f t="shared" ca="1" si="6"/>
        <v/>
      </c>
      <c r="J18" s="28" t="str">
        <f t="shared" ca="1" si="6"/>
        <v/>
      </c>
      <c r="K18" s="28" t="str">
        <f t="shared" ca="1" si="6"/>
        <v/>
      </c>
      <c r="L18" s="28" t="str">
        <f t="shared" ca="1" si="6"/>
        <v/>
      </c>
      <c r="M18" s="28" t="str">
        <f t="shared" ca="1" si="6"/>
        <v/>
      </c>
      <c r="N18" s="28" t="str">
        <f t="shared" ca="1" si="6"/>
        <v/>
      </c>
      <c r="O18" s="28" t="str">
        <f t="shared" ca="1" si="6"/>
        <v/>
      </c>
      <c r="P18" s="28" t="str">
        <f t="shared" ca="1" si="6"/>
        <v/>
      </c>
      <c r="Q18" s="28" t="str">
        <f t="shared" ca="1" si="6"/>
        <v/>
      </c>
      <c r="R18" s="28" t="str">
        <f t="shared" ca="1" si="7"/>
        <v/>
      </c>
      <c r="S18" s="28" t="str">
        <f t="shared" ca="1" si="7"/>
        <v/>
      </c>
      <c r="T18" s="28" t="str">
        <f t="shared" ca="1" si="7"/>
        <v/>
      </c>
      <c r="U18" s="28" t="str">
        <f t="shared" ca="1" si="7"/>
        <v/>
      </c>
      <c r="V18" s="28" t="str">
        <f t="shared" ca="1" si="7"/>
        <v/>
      </c>
      <c r="W18" s="28" t="str">
        <f t="shared" ca="1" si="7"/>
        <v/>
      </c>
      <c r="X18" s="28" t="str">
        <f t="shared" ca="1" si="7"/>
        <v/>
      </c>
      <c r="Y18" s="28" t="str">
        <f t="shared" ca="1" si="7"/>
        <v/>
      </c>
      <c r="Z18" s="28" t="str">
        <f t="shared" ca="1" si="7"/>
        <v/>
      </c>
      <c r="AA18" s="28" t="str">
        <f t="shared" ca="1" si="7"/>
        <v/>
      </c>
      <c r="AB18" s="28" t="str">
        <f t="shared" ca="1" si="8"/>
        <v/>
      </c>
      <c r="AC18" s="28" t="str">
        <f t="shared" ca="1" si="8"/>
        <v/>
      </c>
      <c r="AD18" s="28" t="str">
        <f t="shared" ca="1" si="8"/>
        <v/>
      </c>
      <c r="AE18" s="28" t="str">
        <f t="shared" ca="1" si="8"/>
        <v/>
      </c>
      <c r="AF18" s="28" t="str">
        <f t="shared" ca="1" si="8"/>
        <v/>
      </c>
      <c r="AG18" s="28" t="str">
        <f t="shared" ca="1" si="8"/>
        <v/>
      </c>
      <c r="AH18" s="28" t="str">
        <f t="shared" ca="1" si="8"/>
        <v/>
      </c>
      <c r="AI18" s="28" t="str">
        <f t="shared" ca="1" si="8"/>
        <v/>
      </c>
      <c r="AJ18" s="28" t="str">
        <f t="shared" ca="1" si="8"/>
        <v/>
      </c>
      <c r="AK18" s="28" t="str">
        <f t="shared" ca="1" si="8"/>
        <v/>
      </c>
      <c r="AL18" s="28" t="str">
        <f t="shared" ca="1" si="9"/>
        <v/>
      </c>
      <c r="AM18" s="28" t="str">
        <f t="shared" ca="1" si="9"/>
        <v/>
      </c>
      <c r="AN18" s="28" t="str">
        <f t="shared" ca="1" si="9"/>
        <v/>
      </c>
      <c r="AO18" s="28" t="str">
        <f t="shared" ca="1" si="9"/>
        <v/>
      </c>
      <c r="AP18" s="28" t="str">
        <f t="shared" ca="1" si="9"/>
        <v/>
      </c>
      <c r="AQ18" s="28" t="str">
        <f t="shared" ca="1" si="9"/>
        <v/>
      </c>
      <c r="AR18" s="28" t="str">
        <f t="shared" ca="1" si="9"/>
        <v/>
      </c>
      <c r="AS18" s="28" t="str">
        <f t="shared" ca="1" si="9"/>
        <v/>
      </c>
      <c r="AT18" s="28" t="str">
        <f t="shared" ca="1" si="9"/>
        <v/>
      </c>
      <c r="AU18" s="28" t="str">
        <f t="shared" ca="1" si="9"/>
        <v/>
      </c>
      <c r="AV18" s="28" t="str">
        <f t="shared" ca="1" si="10"/>
        <v/>
      </c>
      <c r="AW18" s="28" t="str">
        <f t="shared" ca="1" si="10"/>
        <v/>
      </c>
      <c r="AX18" s="28" t="str">
        <f t="shared" ca="1" si="10"/>
        <v/>
      </c>
      <c r="AY18" s="28" t="str">
        <f t="shared" ca="1" si="10"/>
        <v/>
      </c>
      <c r="AZ18" s="28" t="str">
        <f t="shared" ca="1" si="10"/>
        <v/>
      </c>
      <c r="BA18" s="28" t="str">
        <f t="shared" ca="1" si="10"/>
        <v/>
      </c>
      <c r="BB18" s="28" t="str">
        <f t="shared" ca="1" si="10"/>
        <v/>
      </c>
      <c r="BC18" s="28" t="str">
        <f t="shared" ca="1" si="10"/>
        <v/>
      </c>
      <c r="BD18" s="28" t="str">
        <f t="shared" ca="1" si="10"/>
        <v/>
      </c>
      <c r="BE18" s="28" t="str">
        <f t="shared" ca="1" si="10"/>
        <v/>
      </c>
      <c r="BF18" s="28" t="str">
        <f t="shared" ca="1" si="11"/>
        <v/>
      </c>
      <c r="BG18" s="28" t="str">
        <f t="shared" ca="1" si="11"/>
        <v/>
      </c>
      <c r="BH18" s="28" t="str">
        <f t="shared" ca="1" si="11"/>
        <v/>
      </c>
      <c r="BI18" s="28" t="str">
        <f t="shared" ca="1" si="11"/>
        <v/>
      </c>
      <c r="BJ18" s="28" t="str">
        <f t="shared" ca="1" si="11"/>
        <v/>
      </c>
      <c r="BK18" s="28" t="str">
        <f t="shared" ca="1" si="11"/>
        <v/>
      </c>
    </row>
    <row r="19" spans="1:63" s="41" customFormat="1" ht="30" customHeight="1" x14ac:dyDescent="0.3">
      <c r="A19" s="10"/>
      <c r="B19" s="39" t="s">
        <v>48</v>
      </c>
      <c r="C19" s="26" t="s">
        <v>24</v>
      </c>
      <c r="D19" s="23">
        <v>1</v>
      </c>
      <c r="E19" s="24">
        <v>45845</v>
      </c>
      <c r="F19" s="25">
        <v>1</v>
      </c>
      <c r="H19" s="28" t="str">
        <f t="shared" ca="1" si="6"/>
        <v/>
      </c>
      <c r="I19" s="28" t="str">
        <f t="shared" ca="1" si="6"/>
        <v/>
      </c>
      <c r="J19" s="28" t="str">
        <f t="shared" ca="1" si="6"/>
        <v/>
      </c>
      <c r="K19" s="28" t="str">
        <f t="shared" ca="1" si="6"/>
        <v/>
      </c>
      <c r="L19" s="28" t="str">
        <f t="shared" ca="1" si="6"/>
        <v/>
      </c>
      <c r="M19" s="28" t="str">
        <f t="shared" ca="1" si="6"/>
        <v/>
      </c>
      <c r="N19" s="28" t="str">
        <f t="shared" ca="1" si="6"/>
        <v/>
      </c>
      <c r="O19" s="28" t="str">
        <f t="shared" ca="1" si="6"/>
        <v/>
      </c>
      <c r="P19" s="28" t="str">
        <f t="shared" ca="1" si="6"/>
        <v/>
      </c>
      <c r="Q19" s="28" t="str">
        <f t="shared" ca="1" si="6"/>
        <v/>
      </c>
      <c r="R19" s="28" t="str">
        <f t="shared" ca="1" si="7"/>
        <v/>
      </c>
      <c r="S19" s="28" t="str">
        <f t="shared" ca="1" si="7"/>
        <v/>
      </c>
      <c r="T19" s="28" t="str">
        <f t="shared" ca="1" si="7"/>
        <v/>
      </c>
      <c r="U19" s="28" t="str">
        <f t="shared" ca="1" si="7"/>
        <v/>
      </c>
      <c r="V19" s="28" t="str">
        <f t="shared" ca="1" si="7"/>
        <v/>
      </c>
      <c r="W19" s="28" t="str">
        <f t="shared" ca="1" si="7"/>
        <v/>
      </c>
      <c r="X19" s="28" t="str">
        <f t="shared" ca="1" si="7"/>
        <v/>
      </c>
      <c r="Y19" s="28" t="str">
        <f t="shared" ca="1" si="7"/>
        <v/>
      </c>
      <c r="Z19" s="28" t="str">
        <f t="shared" ca="1" si="7"/>
        <v/>
      </c>
      <c r="AA19" s="28" t="str">
        <f t="shared" ca="1" si="7"/>
        <v/>
      </c>
      <c r="AB19" s="28" t="str">
        <f t="shared" ca="1" si="8"/>
        <v/>
      </c>
      <c r="AC19" s="28" t="str">
        <f t="shared" ca="1" si="8"/>
        <v/>
      </c>
      <c r="AD19" s="28" t="str">
        <f t="shared" ca="1" si="8"/>
        <v/>
      </c>
      <c r="AE19" s="28" t="str">
        <f t="shared" ca="1" si="8"/>
        <v/>
      </c>
      <c r="AF19" s="28" t="str">
        <f t="shared" ca="1" si="8"/>
        <v/>
      </c>
      <c r="AG19" s="28" t="str">
        <f t="shared" ca="1" si="8"/>
        <v/>
      </c>
      <c r="AH19" s="28" t="str">
        <f t="shared" ca="1" si="8"/>
        <v/>
      </c>
      <c r="AI19" s="28" t="str">
        <f t="shared" ca="1" si="8"/>
        <v/>
      </c>
      <c r="AJ19" s="28" t="str">
        <f t="shared" ca="1" si="8"/>
        <v/>
      </c>
      <c r="AK19" s="28" t="str">
        <f t="shared" ca="1" si="8"/>
        <v/>
      </c>
      <c r="AL19" s="28" t="str">
        <f t="shared" ca="1" si="9"/>
        <v/>
      </c>
      <c r="AM19" s="28" t="str">
        <f t="shared" ca="1" si="9"/>
        <v/>
      </c>
      <c r="AN19" s="28" t="str">
        <f t="shared" ca="1" si="9"/>
        <v/>
      </c>
      <c r="AO19" s="28" t="str">
        <f t="shared" ca="1" si="9"/>
        <v/>
      </c>
      <c r="AP19" s="28" t="str">
        <f t="shared" ca="1" si="9"/>
        <v/>
      </c>
      <c r="AQ19" s="28" t="str">
        <f t="shared" ca="1" si="9"/>
        <v/>
      </c>
      <c r="AR19" s="28" t="str">
        <f t="shared" ca="1" si="9"/>
        <v/>
      </c>
      <c r="AS19" s="28" t="str">
        <f t="shared" ca="1" si="9"/>
        <v/>
      </c>
      <c r="AT19" s="28" t="str">
        <f t="shared" ca="1" si="9"/>
        <v/>
      </c>
      <c r="AU19" s="28" t="str">
        <f t="shared" ca="1" si="9"/>
        <v/>
      </c>
      <c r="AV19" s="28" t="str">
        <f t="shared" ca="1" si="10"/>
        <v/>
      </c>
      <c r="AW19" s="28" t="str">
        <f t="shared" ca="1" si="10"/>
        <v/>
      </c>
      <c r="AX19" s="28" t="str">
        <f t="shared" ca="1" si="10"/>
        <v/>
      </c>
      <c r="AY19" s="28" t="str">
        <f t="shared" ca="1" si="10"/>
        <v/>
      </c>
      <c r="AZ19" s="28" t="str">
        <f t="shared" ca="1" si="10"/>
        <v/>
      </c>
      <c r="BA19" s="28" t="str">
        <f t="shared" ca="1" si="10"/>
        <v/>
      </c>
      <c r="BB19" s="28" t="str">
        <f t="shared" ca="1" si="10"/>
        <v/>
      </c>
      <c r="BC19" s="28" t="str">
        <f t="shared" ca="1" si="10"/>
        <v/>
      </c>
      <c r="BD19" s="28" t="str">
        <f t="shared" ca="1" si="10"/>
        <v/>
      </c>
      <c r="BE19" s="28" t="str">
        <f t="shared" ca="1" si="10"/>
        <v/>
      </c>
      <c r="BF19" s="28" t="str">
        <f t="shared" ca="1" si="11"/>
        <v/>
      </c>
      <c r="BG19" s="28" t="str">
        <f t="shared" ca="1" si="11"/>
        <v/>
      </c>
      <c r="BH19" s="28" t="str">
        <f t="shared" ca="1" si="11"/>
        <v/>
      </c>
      <c r="BI19" s="28" t="str">
        <f t="shared" ca="1" si="11"/>
        <v/>
      </c>
      <c r="BJ19" s="28" t="str">
        <f t="shared" ca="1" si="11"/>
        <v/>
      </c>
      <c r="BK19" s="28" t="str">
        <f t="shared" ca="1" si="11"/>
        <v/>
      </c>
    </row>
    <row r="20" spans="1:63" s="41" customFormat="1" ht="30" customHeight="1" x14ac:dyDescent="0.3">
      <c r="A20" s="10"/>
      <c r="B20" s="39" t="s">
        <v>49</v>
      </c>
      <c r="C20" s="26" t="s">
        <v>24</v>
      </c>
      <c r="D20" s="23">
        <v>1</v>
      </c>
      <c r="E20" s="24">
        <v>45845</v>
      </c>
      <c r="F20" s="25">
        <v>1</v>
      </c>
      <c r="H20" s="28" t="str">
        <f t="shared" ca="1" si="6"/>
        <v/>
      </c>
      <c r="I20" s="28" t="str">
        <f t="shared" ca="1" si="6"/>
        <v/>
      </c>
      <c r="J20" s="28" t="str">
        <f t="shared" ca="1" si="6"/>
        <v/>
      </c>
      <c r="K20" s="28" t="str">
        <f t="shared" ca="1" si="6"/>
        <v/>
      </c>
      <c r="L20" s="28" t="str">
        <f t="shared" ca="1" si="6"/>
        <v/>
      </c>
      <c r="M20" s="28" t="str">
        <f t="shared" ca="1" si="6"/>
        <v/>
      </c>
      <c r="N20" s="28" t="str">
        <f t="shared" ca="1" si="6"/>
        <v/>
      </c>
      <c r="O20" s="28" t="str">
        <f t="shared" ca="1" si="6"/>
        <v/>
      </c>
      <c r="P20" s="28" t="str">
        <f t="shared" ca="1" si="6"/>
        <v/>
      </c>
      <c r="Q20" s="28" t="str">
        <f t="shared" ca="1" si="6"/>
        <v/>
      </c>
      <c r="R20" s="28" t="str">
        <f t="shared" ca="1" si="7"/>
        <v/>
      </c>
      <c r="S20" s="28" t="str">
        <f t="shared" ca="1" si="7"/>
        <v/>
      </c>
      <c r="T20" s="28" t="str">
        <f t="shared" ca="1" si="7"/>
        <v/>
      </c>
      <c r="U20" s="28" t="str">
        <f t="shared" ca="1" si="7"/>
        <v/>
      </c>
      <c r="V20" s="28" t="str">
        <f t="shared" ca="1" si="7"/>
        <v/>
      </c>
      <c r="W20" s="28" t="str">
        <f t="shared" ca="1" si="7"/>
        <v/>
      </c>
      <c r="X20" s="28" t="str">
        <f t="shared" ca="1" si="7"/>
        <v/>
      </c>
      <c r="Y20" s="28" t="str">
        <f t="shared" ca="1" si="7"/>
        <v/>
      </c>
      <c r="Z20" s="28" t="str">
        <f t="shared" ca="1" si="7"/>
        <v/>
      </c>
      <c r="AA20" s="28" t="str">
        <f t="shared" ca="1" si="7"/>
        <v/>
      </c>
      <c r="AB20" s="28" t="str">
        <f t="shared" ca="1" si="8"/>
        <v/>
      </c>
      <c r="AC20" s="28" t="str">
        <f t="shared" ca="1" si="8"/>
        <v/>
      </c>
      <c r="AD20" s="28" t="str">
        <f t="shared" ca="1" si="8"/>
        <v/>
      </c>
      <c r="AE20" s="28" t="str">
        <f t="shared" ca="1" si="8"/>
        <v/>
      </c>
      <c r="AF20" s="28" t="str">
        <f t="shared" ca="1" si="8"/>
        <v/>
      </c>
      <c r="AG20" s="28" t="str">
        <f t="shared" ca="1" si="8"/>
        <v/>
      </c>
      <c r="AH20" s="28" t="str">
        <f t="shared" ca="1" si="8"/>
        <v/>
      </c>
      <c r="AI20" s="28" t="str">
        <f t="shared" ca="1" si="8"/>
        <v/>
      </c>
      <c r="AJ20" s="28" t="str">
        <f t="shared" ca="1" si="8"/>
        <v/>
      </c>
      <c r="AK20" s="28" t="str">
        <f t="shared" ca="1" si="8"/>
        <v/>
      </c>
      <c r="AL20" s="28" t="str">
        <f t="shared" ca="1" si="9"/>
        <v/>
      </c>
      <c r="AM20" s="28" t="str">
        <f t="shared" ca="1" si="9"/>
        <v/>
      </c>
      <c r="AN20" s="28" t="str">
        <f t="shared" ca="1" si="9"/>
        <v/>
      </c>
      <c r="AO20" s="28" t="str">
        <f t="shared" ca="1" si="9"/>
        <v/>
      </c>
      <c r="AP20" s="28" t="str">
        <f t="shared" ca="1" si="9"/>
        <v/>
      </c>
      <c r="AQ20" s="28" t="str">
        <f t="shared" ca="1" si="9"/>
        <v/>
      </c>
      <c r="AR20" s="28" t="str">
        <f t="shared" ca="1" si="9"/>
        <v/>
      </c>
      <c r="AS20" s="28" t="str">
        <f t="shared" ca="1" si="9"/>
        <v/>
      </c>
      <c r="AT20" s="28" t="str">
        <f t="shared" ca="1" si="9"/>
        <v/>
      </c>
      <c r="AU20" s="28" t="str">
        <f t="shared" ca="1" si="9"/>
        <v/>
      </c>
      <c r="AV20" s="28" t="str">
        <f t="shared" ca="1" si="10"/>
        <v/>
      </c>
      <c r="AW20" s="28" t="str">
        <f t="shared" ca="1" si="10"/>
        <v/>
      </c>
      <c r="AX20" s="28" t="str">
        <f t="shared" ca="1" si="10"/>
        <v/>
      </c>
      <c r="AY20" s="28" t="str">
        <f t="shared" ca="1" si="10"/>
        <v/>
      </c>
      <c r="AZ20" s="28" t="str">
        <f t="shared" ca="1" si="10"/>
        <v/>
      </c>
      <c r="BA20" s="28" t="str">
        <f t="shared" ca="1" si="10"/>
        <v/>
      </c>
      <c r="BB20" s="28" t="str">
        <f t="shared" ca="1" si="10"/>
        <v/>
      </c>
      <c r="BC20" s="28" t="str">
        <f t="shared" ca="1" si="10"/>
        <v/>
      </c>
      <c r="BD20" s="28" t="str">
        <f t="shared" ca="1" si="10"/>
        <v/>
      </c>
      <c r="BE20" s="28" t="str">
        <f t="shared" ca="1" si="10"/>
        <v/>
      </c>
      <c r="BF20" s="28" t="str">
        <f t="shared" ca="1" si="11"/>
        <v/>
      </c>
      <c r="BG20" s="28" t="str">
        <f t="shared" ca="1" si="11"/>
        <v/>
      </c>
      <c r="BH20" s="28" t="str">
        <f t="shared" ca="1" si="11"/>
        <v/>
      </c>
      <c r="BI20" s="28" t="str">
        <f t="shared" ca="1" si="11"/>
        <v/>
      </c>
      <c r="BJ20" s="28" t="str">
        <f t="shared" ca="1" si="11"/>
        <v/>
      </c>
      <c r="BK20" s="28" t="str">
        <f t="shared" ca="1" si="11"/>
        <v/>
      </c>
    </row>
    <row r="21" spans="1:63" s="41" customFormat="1" ht="30" customHeight="1" x14ac:dyDescent="0.3">
      <c r="A21" s="10"/>
      <c r="B21" s="39" t="s">
        <v>50</v>
      </c>
      <c r="C21" s="26" t="s">
        <v>24</v>
      </c>
      <c r="D21" s="23">
        <v>1</v>
      </c>
      <c r="E21" s="24">
        <v>45845</v>
      </c>
      <c r="F21" s="25">
        <v>1</v>
      </c>
      <c r="H21" s="28" t="str">
        <f t="shared" ca="1" si="6"/>
        <v/>
      </c>
      <c r="I21" s="28" t="str">
        <f t="shared" ca="1" si="6"/>
        <v/>
      </c>
      <c r="J21" s="28" t="str">
        <f t="shared" ca="1" si="6"/>
        <v/>
      </c>
      <c r="K21" s="28" t="str">
        <f t="shared" ca="1" si="6"/>
        <v/>
      </c>
      <c r="L21" s="28" t="str">
        <f t="shared" ca="1" si="6"/>
        <v/>
      </c>
      <c r="M21" s="28" t="str">
        <f t="shared" ca="1" si="6"/>
        <v/>
      </c>
      <c r="N21" s="28" t="str">
        <f t="shared" ca="1" si="6"/>
        <v/>
      </c>
      <c r="O21" s="28" t="str">
        <f t="shared" ca="1" si="6"/>
        <v/>
      </c>
      <c r="P21" s="28" t="str">
        <f t="shared" ca="1" si="6"/>
        <v/>
      </c>
      <c r="Q21" s="28" t="str">
        <f t="shared" ca="1" si="6"/>
        <v/>
      </c>
      <c r="R21" s="28" t="str">
        <f t="shared" ca="1" si="7"/>
        <v/>
      </c>
      <c r="S21" s="28" t="str">
        <f t="shared" ca="1" si="7"/>
        <v/>
      </c>
      <c r="T21" s="28" t="str">
        <f t="shared" ca="1" si="7"/>
        <v/>
      </c>
      <c r="U21" s="28" t="str">
        <f t="shared" ca="1" si="7"/>
        <v/>
      </c>
      <c r="V21" s="28" t="str">
        <f t="shared" ca="1" si="7"/>
        <v/>
      </c>
      <c r="W21" s="28" t="str">
        <f t="shared" ca="1" si="7"/>
        <v/>
      </c>
      <c r="X21" s="28" t="str">
        <f t="shared" ca="1" si="7"/>
        <v/>
      </c>
      <c r="Y21" s="28" t="str">
        <f t="shared" ca="1" si="7"/>
        <v/>
      </c>
      <c r="Z21" s="28" t="str">
        <f t="shared" ca="1" si="7"/>
        <v/>
      </c>
      <c r="AA21" s="28" t="str">
        <f t="shared" ca="1" si="7"/>
        <v/>
      </c>
      <c r="AB21" s="28" t="str">
        <f t="shared" ca="1" si="8"/>
        <v/>
      </c>
      <c r="AC21" s="28" t="str">
        <f t="shared" ca="1" si="8"/>
        <v/>
      </c>
      <c r="AD21" s="28" t="str">
        <f t="shared" ca="1" si="8"/>
        <v/>
      </c>
      <c r="AE21" s="28" t="str">
        <f t="shared" ca="1" si="8"/>
        <v/>
      </c>
      <c r="AF21" s="28" t="str">
        <f t="shared" ca="1" si="8"/>
        <v/>
      </c>
      <c r="AG21" s="28" t="str">
        <f t="shared" ca="1" si="8"/>
        <v/>
      </c>
      <c r="AH21" s="28" t="str">
        <f t="shared" ca="1" si="8"/>
        <v/>
      </c>
      <c r="AI21" s="28" t="str">
        <f t="shared" ca="1" si="8"/>
        <v/>
      </c>
      <c r="AJ21" s="28" t="str">
        <f t="shared" ca="1" si="8"/>
        <v/>
      </c>
      <c r="AK21" s="28" t="str">
        <f t="shared" ca="1" si="8"/>
        <v/>
      </c>
      <c r="AL21" s="28" t="str">
        <f t="shared" ca="1" si="9"/>
        <v/>
      </c>
      <c r="AM21" s="28" t="str">
        <f t="shared" ca="1" si="9"/>
        <v/>
      </c>
      <c r="AN21" s="28" t="str">
        <f t="shared" ca="1" si="9"/>
        <v/>
      </c>
      <c r="AO21" s="28" t="str">
        <f t="shared" ca="1" si="9"/>
        <v/>
      </c>
      <c r="AP21" s="28" t="str">
        <f t="shared" ca="1" si="9"/>
        <v/>
      </c>
      <c r="AQ21" s="28" t="str">
        <f t="shared" ca="1" si="9"/>
        <v/>
      </c>
      <c r="AR21" s="28" t="str">
        <f t="shared" ca="1" si="9"/>
        <v/>
      </c>
      <c r="AS21" s="28" t="str">
        <f t="shared" ca="1" si="9"/>
        <v/>
      </c>
      <c r="AT21" s="28" t="str">
        <f t="shared" ca="1" si="9"/>
        <v/>
      </c>
      <c r="AU21" s="28" t="str">
        <f t="shared" ca="1" si="9"/>
        <v/>
      </c>
      <c r="AV21" s="28" t="str">
        <f t="shared" ca="1" si="10"/>
        <v/>
      </c>
      <c r="AW21" s="28" t="str">
        <f t="shared" ca="1" si="10"/>
        <v/>
      </c>
      <c r="AX21" s="28" t="str">
        <f t="shared" ca="1" si="10"/>
        <v/>
      </c>
      <c r="AY21" s="28" t="str">
        <f t="shared" ca="1" si="10"/>
        <v/>
      </c>
      <c r="AZ21" s="28" t="str">
        <f t="shared" ca="1" si="10"/>
        <v/>
      </c>
      <c r="BA21" s="28" t="str">
        <f t="shared" ca="1" si="10"/>
        <v/>
      </c>
      <c r="BB21" s="28" t="str">
        <f t="shared" ca="1" si="10"/>
        <v/>
      </c>
      <c r="BC21" s="28" t="str">
        <f t="shared" ca="1" si="10"/>
        <v/>
      </c>
      <c r="BD21" s="28" t="str">
        <f t="shared" ca="1" si="10"/>
        <v/>
      </c>
      <c r="BE21" s="28" t="str">
        <f t="shared" ca="1" si="10"/>
        <v/>
      </c>
      <c r="BF21" s="28" t="str">
        <f t="shared" ca="1" si="11"/>
        <v/>
      </c>
      <c r="BG21" s="28" t="str">
        <f t="shared" ca="1" si="11"/>
        <v/>
      </c>
      <c r="BH21" s="28" t="str">
        <f t="shared" ca="1" si="11"/>
        <v/>
      </c>
      <c r="BI21" s="28" t="str">
        <f t="shared" ca="1" si="11"/>
        <v/>
      </c>
      <c r="BJ21" s="28" t="str">
        <f t="shared" ca="1" si="11"/>
        <v/>
      </c>
      <c r="BK21" s="28" t="str">
        <f t="shared" ca="1" si="11"/>
        <v/>
      </c>
    </row>
    <row r="22" spans="1:63" s="41" customFormat="1" ht="30" customHeight="1" x14ac:dyDescent="0.3">
      <c r="A22" s="10"/>
      <c r="B22" s="39" t="s">
        <v>51</v>
      </c>
      <c r="C22" s="26" t="s">
        <v>24</v>
      </c>
      <c r="D22" s="23">
        <v>1</v>
      </c>
      <c r="E22" s="24">
        <v>45845</v>
      </c>
      <c r="F22" s="25">
        <v>1</v>
      </c>
      <c r="H22" s="28" t="str">
        <f t="shared" ca="1" si="6"/>
        <v/>
      </c>
      <c r="I22" s="28" t="str">
        <f t="shared" ca="1" si="6"/>
        <v/>
      </c>
      <c r="J22" s="28" t="str">
        <f t="shared" ca="1" si="6"/>
        <v/>
      </c>
      <c r="K22" s="28" t="str">
        <f t="shared" ca="1" si="6"/>
        <v/>
      </c>
      <c r="L22" s="28" t="str">
        <f t="shared" ca="1" si="6"/>
        <v/>
      </c>
      <c r="M22" s="28" t="str">
        <f t="shared" ca="1" si="6"/>
        <v/>
      </c>
      <c r="N22" s="28" t="str">
        <f t="shared" ca="1" si="6"/>
        <v/>
      </c>
      <c r="O22" s="28" t="str">
        <f t="shared" ca="1" si="6"/>
        <v/>
      </c>
      <c r="P22" s="28" t="str">
        <f t="shared" ca="1" si="6"/>
        <v/>
      </c>
      <c r="Q22" s="28" t="str">
        <f t="shared" ca="1" si="6"/>
        <v/>
      </c>
      <c r="R22" s="28" t="str">
        <f t="shared" ca="1" si="7"/>
        <v/>
      </c>
      <c r="S22" s="28" t="str">
        <f t="shared" ca="1" si="7"/>
        <v/>
      </c>
      <c r="T22" s="28" t="str">
        <f t="shared" ca="1" si="7"/>
        <v/>
      </c>
      <c r="U22" s="28" t="str">
        <f t="shared" ca="1" si="7"/>
        <v/>
      </c>
      <c r="V22" s="28" t="str">
        <f t="shared" ca="1" si="7"/>
        <v/>
      </c>
      <c r="W22" s="28" t="str">
        <f t="shared" ca="1" si="7"/>
        <v/>
      </c>
      <c r="X22" s="28" t="str">
        <f t="shared" ca="1" si="7"/>
        <v/>
      </c>
      <c r="Y22" s="28" t="str">
        <f t="shared" ca="1" si="7"/>
        <v/>
      </c>
      <c r="Z22" s="28" t="str">
        <f t="shared" ca="1" si="7"/>
        <v/>
      </c>
      <c r="AA22" s="28" t="str">
        <f t="shared" ca="1" si="7"/>
        <v/>
      </c>
      <c r="AB22" s="28" t="str">
        <f t="shared" ca="1" si="8"/>
        <v/>
      </c>
      <c r="AC22" s="28" t="str">
        <f t="shared" ca="1" si="8"/>
        <v/>
      </c>
      <c r="AD22" s="28" t="str">
        <f t="shared" ca="1" si="8"/>
        <v/>
      </c>
      <c r="AE22" s="28" t="str">
        <f t="shared" ca="1" si="8"/>
        <v/>
      </c>
      <c r="AF22" s="28" t="str">
        <f t="shared" ca="1" si="8"/>
        <v/>
      </c>
      <c r="AG22" s="28" t="str">
        <f t="shared" ca="1" si="8"/>
        <v/>
      </c>
      <c r="AH22" s="28" t="str">
        <f t="shared" ca="1" si="8"/>
        <v/>
      </c>
      <c r="AI22" s="28" t="str">
        <f t="shared" ca="1" si="8"/>
        <v/>
      </c>
      <c r="AJ22" s="28" t="str">
        <f t="shared" ca="1" si="8"/>
        <v/>
      </c>
      <c r="AK22" s="28" t="str">
        <f t="shared" ca="1" si="8"/>
        <v/>
      </c>
      <c r="AL22" s="28" t="str">
        <f t="shared" ca="1" si="9"/>
        <v/>
      </c>
      <c r="AM22" s="28" t="str">
        <f t="shared" ca="1" si="9"/>
        <v/>
      </c>
      <c r="AN22" s="28" t="str">
        <f t="shared" ca="1" si="9"/>
        <v/>
      </c>
      <c r="AO22" s="28" t="str">
        <f t="shared" ca="1" si="9"/>
        <v/>
      </c>
      <c r="AP22" s="28" t="str">
        <f t="shared" ca="1" si="9"/>
        <v/>
      </c>
      <c r="AQ22" s="28" t="str">
        <f t="shared" ca="1" si="9"/>
        <v/>
      </c>
      <c r="AR22" s="28" t="str">
        <f t="shared" ca="1" si="9"/>
        <v/>
      </c>
      <c r="AS22" s="28" t="str">
        <f t="shared" ca="1" si="9"/>
        <v/>
      </c>
      <c r="AT22" s="28" t="str">
        <f t="shared" ca="1" si="9"/>
        <v/>
      </c>
      <c r="AU22" s="28" t="str">
        <f t="shared" ca="1" si="9"/>
        <v/>
      </c>
      <c r="AV22" s="28" t="str">
        <f t="shared" ca="1" si="10"/>
        <v/>
      </c>
      <c r="AW22" s="28" t="str">
        <f t="shared" ca="1" si="10"/>
        <v/>
      </c>
      <c r="AX22" s="28" t="str">
        <f t="shared" ca="1" si="10"/>
        <v/>
      </c>
      <c r="AY22" s="28" t="str">
        <f t="shared" ca="1" si="10"/>
        <v/>
      </c>
      <c r="AZ22" s="28" t="str">
        <f t="shared" ca="1" si="10"/>
        <v/>
      </c>
      <c r="BA22" s="28" t="str">
        <f t="shared" ca="1" si="10"/>
        <v/>
      </c>
      <c r="BB22" s="28" t="str">
        <f t="shared" ca="1" si="10"/>
        <v/>
      </c>
      <c r="BC22" s="28" t="str">
        <f t="shared" ca="1" si="10"/>
        <v/>
      </c>
      <c r="BD22" s="28" t="str">
        <f t="shared" ca="1" si="10"/>
        <v/>
      </c>
      <c r="BE22" s="28" t="str">
        <f t="shared" ca="1" si="10"/>
        <v/>
      </c>
      <c r="BF22" s="28" t="str">
        <f t="shared" ca="1" si="11"/>
        <v/>
      </c>
      <c r="BG22" s="28" t="str">
        <f t="shared" ca="1" si="11"/>
        <v/>
      </c>
      <c r="BH22" s="28" t="str">
        <f t="shared" ca="1" si="11"/>
        <v/>
      </c>
      <c r="BI22" s="28" t="str">
        <f t="shared" ca="1" si="11"/>
        <v/>
      </c>
      <c r="BJ22" s="28" t="str">
        <f t="shared" ca="1" si="11"/>
        <v/>
      </c>
      <c r="BK22" s="28" t="str">
        <f t="shared" ca="1" si="11"/>
        <v/>
      </c>
    </row>
    <row r="23" spans="1:63" s="41" customFormat="1" ht="30" customHeight="1" x14ac:dyDescent="0.3">
      <c r="A23" s="10"/>
      <c r="B23" s="39" t="s">
        <v>52</v>
      </c>
      <c r="C23" s="26" t="s">
        <v>24</v>
      </c>
      <c r="D23" s="23">
        <v>1</v>
      </c>
      <c r="E23" s="24">
        <v>45845</v>
      </c>
      <c r="F23" s="25">
        <v>1</v>
      </c>
      <c r="H23" s="28" t="str">
        <f t="shared" ca="1" si="6"/>
        <v/>
      </c>
      <c r="I23" s="28" t="str">
        <f t="shared" ca="1" si="6"/>
        <v/>
      </c>
      <c r="J23" s="28" t="str">
        <f t="shared" ca="1" si="6"/>
        <v/>
      </c>
      <c r="K23" s="28" t="str">
        <f t="shared" ca="1" si="6"/>
        <v/>
      </c>
      <c r="L23" s="28" t="str">
        <f t="shared" ca="1" si="6"/>
        <v/>
      </c>
      <c r="M23" s="28" t="str">
        <f t="shared" ca="1" si="6"/>
        <v/>
      </c>
      <c r="N23" s="28" t="str">
        <f t="shared" ca="1" si="6"/>
        <v/>
      </c>
      <c r="O23" s="28" t="str">
        <f t="shared" ca="1" si="6"/>
        <v/>
      </c>
      <c r="P23" s="28" t="str">
        <f t="shared" ca="1" si="6"/>
        <v/>
      </c>
      <c r="Q23" s="28" t="str">
        <f t="shared" ca="1" si="6"/>
        <v/>
      </c>
      <c r="R23" s="28" t="str">
        <f t="shared" ca="1" si="7"/>
        <v/>
      </c>
      <c r="S23" s="28" t="str">
        <f t="shared" ca="1" si="7"/>
        <v/>
      </c>
      <c r="T23" s="28" t="str">
        <f t="shared" ca="1" si="7"/>
        <v/>
      </c>
      <c r="U23" s="28" t="str">
        <f t="shared" ca="1" si="7"/>
        <v/>
      </c>
      <c r="V23" s="28" t="str">
        <f t="shared" ca="1" si="7"/>
        <v/>
      </c>
      <c r="W23" s="28" t="str">
        <f t="shared" ca="1" si="7"/>
        <v/>
      </c>
      <c r="X23" s="28" t="str">
        <f t="shared" ca="1" si="7"/>
        <v/>
      </c>
      <c r="Y23" s="28" t="str">
        <f t="shared" ca="1" si="7"/>
        <v/>
      </c>
      <c r="Z23" s="28" t="str">
        <f t="shared" ca="1" si="7"/>
        <v/>
      </c>
      <c r="AA23" s="28" t="str">
        <f t="shared" ca="1" si="7"/>
        <v/>
      </c>
      <c r="AB23" s="28" t="str">
        <f t="shared" ca="1" si="8"/>
        <v/>
      </c>
      <c r="AC23" s="28" t="str">
        <f t="shared" ca="1" si="8"/>
        <v/>
      </c>
      <c r="AD23" s="28" t="str">
        <f t="shared" ca="1" si="8"/>
        <v/>
      </c>
      <c r="AE23" s="28" t="str">
        <f t="shared" ca="1" si="8"/>
        <v/>
      </c>
      <c r="AF23" s="28" t="str">
        <f t="shared" ca="1" si="8"/>
        <v/>
      </c>
      <c r="AG23" s="28" t="str">
        <f t="shared" ca="1" si="8"/>
        <v/>
      </c>
      <c r="AH23" s="28" t="str">
        <f t="shared" ca="1" si="8"/>
        <v/>
      </c>
      <c r="AI23" s="28" t="str">
        <f t="shared" ca="1" si="8"/>
        <v/>
      </c>
      <c r="AJ23" s="28" t="str">
        <f t="shared" ca="1" si="8"/>
        <v/>
      </c>
      <c r="AK23" s="28" t="str">
        <f t="shared" ca="1" si="8"/>
        <v/>
      </c>
      <c r="AL23" s="28" t="str">
        <f t="shared" ca="1" si="9"/>
        <v/>
      </c>
      <c r="AM23" s="28" t="str">
        <f t="shared" ca="1" si="9"/>
        <v/>
      </c>
      <c r="AN23" s="28" t="str">
        <f t="shared" ca="1" si="9"/>
        <v/>
      </c>
      <c r="AO23" s="28" t="str">
        <f t="shared" ca="1" si="9"/>
        <v/>
      </c>
      <c r="AP23" s="28" t="str">
        <f t="shared" ca="1" si="9"/>
        <v/>
      </c>
      <c r="AQ23" s="28" t="str">
        <f t="shared" ca="1" si="9"/>
        <v/>
      </c>
      <c r="AR23" s="28" t="str">
        <f t="shared" ca="1" si="9"/>
        <v/>
      </c>
      <c r="AS23" s="28" t="str">
        <f t="shared" ca="1" si="9"/>
        <v/>
      </c>
      <c r="AT23" s="28" t="str">
        <f t="shared" ca="1" si="9"/>
        <v/>
      </c>
      <c r="AU23" s="28" t="str">
        <f t="shared" ca="1" si="9"/>
        <v/>
      </c>
      <c r="AV23" s="28" t="str">
        <f t="shared" ca="1" si="10"/>
        <v/>
      </c>
      <c r="AW23" s="28" t="str">
        <f t="shared" ca="1" si="10"/>
        <v/>
      </c>
      <c r="AX23" s="28" t="str">
        <f t="shared" ca="1" si="10"/>
        <v/>
      </c>
      <c r="AY23" s="28" t="str">
        <f t="shared" ca="1" si="10"/>
        <v/>
      </c>
      <c r="AZ23" s="28" t="str">
        <f t="shared" ca="1" si="10"/>
        <v/>
      </c>
      <c r="BA23" s="28" t="str">
        <f t="shared" ca="1" si="10"/>
        <v/>
      </c>
      <c r="BB23" s="28" t="str">
        <f t="shared" ca="1" si="10"/>
        <v/>
      </c>
      <c r="BC23" s="28" t="str">
        <f t="shared" ca="1" si="10"/>
        <v/>
      </c>
      <c r="BD23" s="28" t="str">
        <f t="shared" ca="1" si="10"/>
        <v/>
      </c>
      <c r="BE23" s="28" t="str">
        <f t="shared" ca="1" si="10"/>
        <v/>
      </c>
      <c r="BF23" s="28" t="str">
        <f t="shared" ca="1" si="11"/>
        <v/>
      </c>
      <c r="BG23" s="28" t="str">
        <f t="shared" ca="1" si="11"/>
        <v/>
      </c>
      <c r="BH23" s="28" t="str">
        <f t="shared" ca="1" si="11"/>
        <v/>
      </c>
      <c r="BI23" s="28" t="str">
        <f t="shared" ca="1" si="11"/>
        <v/>
      </c>
      <c r="BJ23" s="28" t="str">
        <f t="shared" ca="1" si="11"/>
        <v/>
      </c>
      <c r="BK23" s="28" t="str">
        <f t="shared" ca="1" si="11"/>
        <v/>
      </c>
    </row>
    <row r="24" spans="1:63" ht="30" customHeight="1" x14ac:dyDescent="0.3">
      <c r="B24" s="39" t="s">
        <v>53</v>
      </c>
      <c r="C24" s="26" t="s">
        <v>24</v>
      </c>
      <c r="D24" s="23">
        <v>1</v>
      </c>
      <c r="E24" s="24">
        <v>45845</v>
      </c>
      <c r="F24" s="25">
        <v>1</v>
      </c>
      <c r="H24" s="28" t="str">
        <f t="shared" ca="1" si="6"/>
        <v/>
      </c>
      <c r="I24" s="28" t="str">
        <f t="shared" ca="1" si="6"/>
        <v/>
      </c>
      <c r="J24" s="28" t="str">
        <f t="shared" ca="1" si="6"/>
        <v/>
      </c>
      <c r="K24" s="28" t="str">
        <f t="shared" ca="1" si="6"/>
        <v/>
      </c>
      <c r="L24" s="28" t="str">
        <f t="shared" ca="1" si="6"/>
        <v/>
      </c>
      <c r="M24" s="28" t="str">
        <f t="shared" ca="1" si="6"/>
        <v/>
      </c>
      <c r="N24" s="28" t="str">
        <f t="shared" ca="1" si="6"/>
        <v/>
      </c>
      <c r="O24" s="28" t="str">
        <f t="shared" ca="1" si="6"/>
        <v/>
      </c>
      <c r="P24" s="28" t="str">
        <f t="shared" ca="1" si="6"/>
        <v/>
      </c>
      <c r="Q24" s="28" t="str">
        <f t="shared" ca="1" si="6"/>
        <v/>
      </c>
      <c r="R24" s="28" t="str">
        <f t="shared" ca="1" si="7"/>
        <v/>
      </c>
      <c r="S24" s="28" t="str">
        <f t="shared" ca="1" si="7"/>
        <v/>
      </c>
      <c r="T24" s="28" t="str">
        <f t="shared" ca="1" si="7"/>
        <v/>
      </c>
      <c r="U24" s="28" t="str">
        <f t="shared" ca="1" si="7"/>
        <v/>
      </c>
      <c r="V24" s="28" t="str">
        <f t="shared" ca="1" si="7"/>
        <v/>
      </c>
      <c r="W24" s="28" t="str">
        <f t="shared" ca="1" si="7"/>
        <v/>
      </c>
      <c r="X24" s="28" t="str">
        <f t="shared" ca="1" si="7"/>
        <v/>
      </c>
      <c r="Y24" s="28" t="str">
        <f t="shared" ca="1" si="7"/>
        <v/>
      </c>
      <c r="Z24" s="28" t="str">
        <f t="shared" ca="1" si="7"/>
        <v/>
      </c>
      <c r="AA24" s="28" t="str">
        <f t="shared" ca="1" si="7"/>
        <v/>
      </c>
      <c r="AB24" s="28" t="str">
        <f t="shared" ca="1" si="8"/>
        <v/>
      </c>
      <c r="AC24" s="28" t="str">
        <f t="shared" ca="1" si="8"/>
        <v/>
      </c>
      <c r="AD24" s="28" t="str">
        <f t="shared" ca="1" si="8"/>
        <v/>
      </c>
      <c r="AE24" s="28" t="str">
        <f t="shared" ca="1" si="8"/>
        <v/>
      </c>
      <c r="AF24" s="28" t="str">
        <f t="shared" ca="1" si="8"/>
        <v/>
      </c>
      <c r="AG24" s="28" t="str">
        <f t="shared" ca="1" si="8"/>
        <v/>
      </c>
      <c r="AH24" s="28" t="str">
        <f t="shared" ca="1" si="8"/>
        <v/>
      </c>
      <c r="AI24" s="28" t="str">
        <f t="shared" ca="1" si="8"/>
        <v/>
      </c>
      <c r="AJ24" s="28" t="str">
        <f t="shared" ca="1" si="8"/>
        <v/>
      </c>
      <c r="AK24" s="28" t="str">
        <f t="shared" ca="1" si="8"/>
        <v/>
      </c>
      <c r="AL24" s="28" t="str">
        <f t="shared" ca="1" si="9"/>
        <v/>
      </c>
      <c r="AM24" s="28" t="str">
        <f t="shared" ca="1" si="9"/>
        <v/>
      </c>
      <c r="AN24" s="28" t="str">
        <f t="shared" ca="1" si="9"/>
        <v/>
      </c>
      <c r="AO24" s="28" t="str">
        <f t="shared" ca="1" si="9"/>
        <v/>
      </c>
      <c r="AP24" s="28" t="str">
        <f t="shared" ca="1" si="9"/>
        <v/>
      </c>
      <c r="AQ24" s="28" t="str">
        <f t="shared" ca="1" si="9"/>
        <v/>
      </c>
      <c r="AR24" s="28" t="str">
        <f t="shared" ca="1" si="9"/>
        <v/>
      </c>
      <c r="AS24" s="28" t="str">
        <f t="shared" ca="1" si="9"/>
        <v/>
      </c>
      <c r="AT24" s="28" t="str">
        <f t="shared" ca="1" si="9"/>
        <v/>
      </c>
      <c r="AU24" s="28" t="str">
        <f t="shared" ca="1" si="9"/>
        <v/>
      </c>
      <c r="AV24" s="28" t="str">
        <f t="shared" ca="1" si="10"/>
        <v/>
      </c>
      <c r="AW24" s="28" t="str">
        <f t="shared" ca="1" si="10"/>
        <v/>
      </c>
      <c r="AX24" s="28" t="str">
        <f t="shared" ca="1" si="10"/>
        <v/>
      </c>
      <c r="AY24" s="28" t="str">
        <f t="shared" ca="1" si="10"/>
        <v/>
      </c>
      <c r="AZ24" s="28" t="str">
        <f t="shared" ca="1" si="10"/>
        <v/>
      </c>
      <c r="BA24" s="28" t="str">
        <f t="shared" ca="1" si="10"/>
        <v/>
      </c>
      <c r="BB24" s="28" t="str">
        <f t="shared" ca="1" si="10"/>
        <v/>
      </c>
      <c r="BC24" s="28" t="str">
        <f t="shared" ca="1" si="10"/>
        <v/>
      </c>
      <c r="BD24" s="28" t="str">
        <f t="shared" ca="1" si="10"/>
        <v/>
      </c>
      <c r="BE24" s="28" t="str">
        <f t="shared" ca="1" si="10"/>
        <v/>
      </c>
      <c r="BF24" s="28" t="str">
        <f t="shared" ca="1" si="11"/>
        <v/>
      </c>
      <c r="BG24" s="28" t="str">
        <f t="shared" ca="1" si="11"/>
        <v/>
      </c>
      <c r="BH24" s="28" t="str">
        <f t="shared" ca="1" si="11"/>
        <v/>
      </c>
      <c r="BI24" s="28" t="str">
        <f t="shared" ca="1" si="11"/>
        <v/>
      </c>
      <c r="BJ24" s="28" t="str">
        <f t="shared" ca="1" si="11"/>
        <v/>
      </c>
      <c r="BK24" s="28" t="str">
        <f t="shared" ca="1" si="11"/>
        <v/>
      </c>
    </row>
    <row r="25" spans="1:63" s="1" customFormat="1" ht="30" customHeight="1" x14ac:dyDescent="0.3">
      <c r="A25" s="11"/>
      <c r="B25" s="40" t="s">
        <v>54</v>
      </c>
      <c r="C25" s="26"/>
      <c r="D25"/>
      <c r="E25"/>
      <c r="F25"/>
      <c r="G25" s="19"/>
      <c r="H25" s="28" t="str">
        <f t="shared" ca="1" si="6"/>
        <v/>
      </c>
      <c r="I25" s="28" t="str">
        <f t="shared" ca="1" si="6"/>
        <v/>
      </c>
      <c r="J25" s="28" t="str">
        <f t="shared" ca="1" si="6"/>
        <v/>
      </c>
      <c r="K25" s="28" t="str">
        <f t="shared" ca="1" si="6"/>
        <v/>
      </c>
      <c r="L25" s="28" t="str">
        <f t="shared" ca="1" si="6"/>
        <v/>
      </c>
      <c r="M25" s="28" t="str">
        <f t="shared" ca="1" si="6"/>
        <v/>
      </c>
      <c r="N25" s="28" t="str">
        <f t="shared" ca="1" si="6"/>
        <v/>
      </c>
      <c r="O25" s="28" t="str">
        <f t="shared" ca="1" si="6"/>
        <v/>
      </c>
      <c r="P25" s="28" t="str">
        <f t="shared" ca="1" si="6"/>
        <v/>
      </c>
      <c r="Q25" s="28" t="str">
        <f t="shared" ca="1" si="6"/>
        <v/>
      </c>
      <c r="R25" s="28" t="str">
        <f t="shared" ca="1" si="7"/>
        <v/>
      </c>
      <c r="S25" s="28" t="str">
        <f t="shared" ca="1" si="7"/>
        <v/>
      </c>
      <c r="T25" s="28" t="str">
        <f t="shared" ca="1" si="7"/>
        <v/>
      </c>
      <c r="U25" s="28" t="str">
        <f t="shared" ca="1" si="7"/>
        <v/>
      </c>
      <c r="V25" s="28" t="str">
        <f t="shared" ca="1" si="7"/>
        <v/>
      </c>
      <c r="W25" s="28" t="str">
        <f t="shared" ca="1" si="7"/>
        <v/>
      </c>
      <c r="X25" s="28" t="str">
        <f t="shared" ca="1" si="7"/>
        <v/>
      </c>
      <c r="Y25" s="28" t="str">
        <f t="shared" ca="1" si="7"/>
        <v/>
      </c>
      <c r="Z25" s="28" t="str">
        <f t="shared" ca="1" si="7"/>
        <v/>
      </c>
      <c r="AA25" s="28" t="str">
        <f t="shared" ca="1" si="7"/>
        <v/>
      </c>
      <c r="AB25" s="28" t="str">
        <f t="shared" ca="1" si="8"/>
        <v/>
      </c>
      <c r="AC25" s="28" t="str">
        <f t="shared" ca="1" si="8"/>
        <v/>
      </c>
      <c r="AD25" s="28" t="str">
        <f t="shared" ca="1" si="8"/>
        <v/>
      </c>
      <c r="AE25" s="28" t="str">
        <f t="shared" ca="1" si="8"/>
        <v/>
      </c>
      <c r="AF25" s="28" t="str">
        <f t="shared" ca="1" si="8"/>
        <v/>
      </c>
      <c r="AG25" s="28" t="str">
        <f t="shared" ca="1" si="8"/>
        <v/>
      </c>
      <c r="AH25" s="28" t="str">
        <f t="shared" ca="1" si="8"/>
        <v/>
      </c>
      <c r="AI25" s="28" t="str">
        <f t="shared" ca="1" si="8"/>
        <v/>
      </c>
      <c r="AJ25" s="28" t="str">
        <f t="shared" ca="1" si="8"/>
        <v/>
      </c>
      <c r="AK25" s="28" t="str">
        <f t="shared" ca="1" si="8"/>
        <v/>
      </c>
      <c r="AL25" s="28" t="str">
        <f t="shared" ca="1" si="9"/>
        <v/>
      </c>
      <c r="AM25" s="28" t="str">
        <f t="shared" ca="1" si="9"/>
        <v/>
      </c>
      <c r="AN25" s="28" t="str">
        <f t="shared" ca="1" si="9"/>
        <v/>
      </c>
      <c r="AO25" s="28" t="str">
        <f t="shared" ca="1" si="9"/>
        <v/>
      </c>
      <c r="AP25" s="28" t="str">
        <f t="shared" ca="1" si="9"/>
        <v/>
      </c>
      <c r="AQ25" s="28" t="str">
        <f t="shared" ca="1" si="9"/>
        <v/>
      </c>
      <c r="AR25" s="28" t="str">
        <f t="shared" ca="1" si="9"/>
        <v/>
      </c>
      <c r="AS25" s="28" t="str">
        <f t="shared" ca="1" si="9"/>
        <v/>
      </c>
      <c r="AT25" s="28" t="str">
        <f t="shared" ca="1" si="9"/>
        <v/>
      </c>
      <c r="AU25" s="28" t="str">
        <f t="shared" ca="1" si="9"/>
        <v/>
      </c>
      <c r="AV25" s="28" t="str">
        <f t="shared" ca="1" si="10"/>
        <v/>
      </c>
      <c r="AW25" s="28" t="str">
        <f t="shared" ca="1" si="10"/>
        <v/>
      </c>
      <c r="AX25" s="28" t="str">
        <f t="shared" ca="1" si="10"/>
        <v/>
      </c>
      <c r="AY25" s="28" t="str">
        <f t="shared" ca="1" si="10"/>
        <v/>
      </c>
      <c r="AZ25" s="28" t="str">
        <f t="shared" ca="1" si="10"/>
        <v/>
      </c>
      <c r="BA25" s="28" t="str">
        <f t="shared" ca="1" si="10"/>
        <v/>
      </c>
      <c r="BB25" s="28" t="str">
        <f t="shared" ca="1" si="10"/>
        <v/>
      </c>
      <c r="BC25" s="28" t="str">
        <f t="shared" ca="1" si="10"/>
        <v/>
      </c>
      <c r="BD25" s="28" t="str">
        <f t="shared" ca="1" si="10"/>
        <v/>
      </c>
      <c r="BE25" s="28" t="str">
        <f t="shared" ca="1" si="10"/>
        <v/>
      </c>
      <c r="BF25" s="28" t="str">
        <f t="shared" ca="1" si="11"/>
        <v/>
      </c>
      <c r="BG25" s="28" t="str">
        <f t="shared" ca="1" si="11"/>
        <v/>
      </c>
      <c r="BH25" s="28" t="str">
        <f t="shared" ca="1" si="11"/>
        <v/>
      </c>
      <c r="BI25" s="28" t="str">
        <f t="shared" ca="1" si="11"/>
        <v/>
      </c>
      <c r="BJ25" s="28" t="str">
        <f t="shared" ca="1" si="11"/>
        <v/>
      </c>
      <c r="BK25" s="28" t="str">
        <f t="shared" ca="1" si="11"/>
        <v/>
      </c>
    </row>
    <row r="26" spans="1:63" s="1" customFormat="1" ht="30" customHeight="1" x14ac:dyDescent="0.3">
      <c r="A26" s="11"/>
      <c r="B26" s="39" t="s">
        <v>55</v>
      </c>
      <c r="C26" s="26" t="s">
        <v>24</v>
      </c>
      <c r="D26" s="23">
        <v>0.6</v>
      </c>
      <c r="E26" s="24">
        <f>E10+6</f>
        <v>45841</v>
      </c>
      <c r="F26" s="25">
        <v>13</v>
      </c>
      <c r="G26" s="19"/>
      <c r="H26" s="28" t="str">
        <f t="shared" ca="1" si="6"/>
        <v/>
      </c>
      <c r="I26" s="28" t="str">
        <f t="shared" ca="1" si="6"/>
        <v/>
      </c>
      <c r="J26" s="28" t="str">
        <f t="shared" ca="1" si="6"/>
        <v/>
      </c>
      <c r="K26" s="28" t="str">
        <f t="shared" ca="1" si="6"/>
        <v/>
      </c>
      <c r="L26" s="28" t="str">
        <f t="shared" ca="1" si="6"/>
        <v/>
      </c>
      <c r="M26" s="28" t="str">
        <f t="shared" ca="1" si="6"/>
        <v/>
      </c>
      <c r="N26" s="28" t="str">
        <f t="shared" ca="1" si="6"/>
        <v/>
      </c>
      <c r="O26" s="28" t="str">
        <f t="shared" ca="1" si="6"/>
        <v/>
      </c>
      <c r="P26" s="28" t="str">
        <f t="shared" ca="1" si="6"/>
        <v/>
      </c>
      <c r="Q26" s="28" t="str">
        <f t="shared" ca="1" si="6"/>
        <v/>
      </c>
      <c r="R26" s="28" t="str">
        <f t="shared" ca="1" si="7"/>
        <v/>
      </c>
      <c r="S26" s="28" t="str">
        <f t="shared" ca="1" si="7"/>
        <v/>
      </c>
      <c r="T26" s="28" t="str">
        <f t="shared" ca="1" si="7"/>
        <v/>
      </c>
      <c r="U26" s="28" t="str">
        <f t="shared" ca="1" si="7"/>
        <v/>
      </c>
      <c r="V26" s="28" t="str">
        <f t="shared" ca="1" si="7"/>
        <v/>
      </c>
      <c r="W26" s="28" t="str">
        <f t="shared" ca="1" si="7"/>
        <v/>
      </c>
      <c r="X26" s="28" t="str">
        <f t="shared" ca="1" si="7"/>
        <v/>
      </c>
      <c r="Y26" s="28" t="str">
        <f t="shared" ca="1" si="7"/>
        <v/>
      </c>
      <c r="Z26" s="28" t="str">
        <f t="shared" ca="1" si="7"/>
        <v/>
      </c>
      <c r="AA26" s="28" t="str">
        <f t="shared" ca="1" si="7"/>
        <v/>
      </c>
      <c r="AB26" s="28" t="str">
        <f t="shared" ca="1" si="8"/>
        <v/>
      </c>
      <c r="AC26" s="28" t="str">
        <f t="shared" ca="1" si="8"/>
        <v/>
      </c>
      <c r="AD26" s="28" t="str">
        <f t="shared" ca="1" si="8"/>
        <v/>
      </c>
      <c r="AE26" s="28" t="str">
        <f t="shared" ca="1" si="8"/>
        <v/>
      </c>
      <c r="AF26" s="28" t="str">
        <f t="shared" ca="1" si="8"/>
        <v/>
      </c>
      <c r="AG26" s="28" t="str">
        <f t="shared" ca="1" si="8"/>
        <v/>
      </c>
      <c r="AH26" s="28" t="str">
        <f t="shared" ca="1" si="8"/>
        <v/>
      </c>
      <c r="AI26" s="28" t="str">
        <f t="shared" ca="1" si="8"/>
        <v/>
      </c>
      <c r="AJ26" s="28" t="str">
        <f t="shared" ca="1" si="8"/>
        <v/>
      </c>
      <c r="AK26" s="28" t="str">
        <f t="shared" ca="1" si="8"/>
        <v/>
      </c>
      <c r="AL26" s="28" t="str">
        <f t="shared" ca="1" si="9"/>
        <v/>
      </c>
      <c r="AM26" s="28" t="str">
        <f t="shared" ca="1" si="9"/>
        <v/>
      </c>
      <c r="AN26" s="28" t="str">
        <f t="shared" ca="1" si="9"/>
        <v/>
      </c>
      <c r="AO26" s="28" t="str">
        <f t="shared" ca="1" si="9"/>
        <v/>
      </c>
      <c r="AP26" s="28" t="str">
        <f t="shared" ca="1" si="9"/>
        <v/>
      </c>
      <c r="AQ26" s="28" t="str">
        <f t="shared" ca="1" si="9"/>
        <v/>
      </c>
      <c r="AR26" s="28" t="str">
        <f t="shared" ca="1" si="9"/>
        <v/>
      </c>
      <c r="AS26" s="28" t="str">
        <f t="shared" ca="1" si="9"/>
        <v/>
      </c>
      <c r="AT26" s="28" t="str">
        <f t="shared" ca="1" si="9"/>
        <v/>
      </c>
      <c r="AU26" s="28" t="str">
        <f t="shared" ca="1" si="9"/>
        <v/>
      </c>
      <c r="AV26" s="28" t="str">
        <f t="shared" ca="1" si="10"/>
        <v/>
      </c>
      <c r="AW26" s="28" t="str">
        <f t="shared" ca="1" si="10"/>
        <v/>
      </c>
      <c r="AX26" s="28" t="str">
        <f t="shared" ca="1" si="10"/>
        <v/>
      </c>
      <c r="AY26" s="28" t="str">
        <f t="shared" ca="1" si="10"/>
        <v/>
      </c>
      <c r="AZ26" s="28" t="str">
        <f t="shared" ca="1" si="10"/>
        <v/>
      </c>
      <c r="BA26" s="28" t="str">
        <f t="shared" ca="1" si="10"/>
        <v/>
      </c>
      <c r="BB26" s="28" t="str">
        <f t="shared" ca="1" si="10"/>
        <v/>
      </c>
      <c r="BC26" s="28" t="str">
        <f t="shared" ca="1" si="10"/>
        <v/>
      </c>
      <c r="BD26" s="28" t="str">
        <f t="shared" ca="1" si="10"/>
        <v/>
      </c>
      <c r="BE26" s="28" t="str">
        <f t="shared" ca="1" si="10"/>
        <v/>
      </c>
      <c r="BF26" s="28" t="str">
        <f t="shared" ca="1" si="11"/>
        <v/>
      </c>
      <c r="BG26" s="28" t="str">
        <f t="shared" ca="1" si="11"/>
        <v/>
      </c>
      <c r="BH26" s="28" t="str">
        <f t="shared" ca="1" si="11"/>
        <v/>
      </c>
      <c r="BI26" s="28" t="str">
        <f t="shared" ca="1" si="11"/>
        <v/>
      </c>
      <c r="BJ26" s="28" t="str">
        <f t="shared" ca="1" si="11"/>
        <v/>
      </c>
      <c r="BK26" s="28" t="str">
        <f t="shared" ca="1" si="11"/>
        <v/>
      </c>
    </row>
    <row r="27" spans="1:63" s="1" customFormat="1" ht="30" customHeight="1" x14ac:dyDescent="0.3">
      <c r="A27" s="10"/>
      <c r="B27" s="39" t="s">
        <v>56</v>
      </c>
      <c r="C27" s="26" t="s">
        <v>24</v>
      </c>
      <c r="D27" s="23">
        <v>0.5</v>
      </c>
      <c r="E27" s="24">
        <f>E26+2</f>
        <v>45843</v>
      </c>
      <c r="F27" s="25">
        <v>9</v>
      </c>
      <c r="G27" s="19"/>
      <c r="H27" s="28" t="str">
        <f t="shared" ca="1" si="6"/>
        <v/>
      </c>
      <c r="I27" s="28" t="str">
        <f t="shared" ca="1" si="6"/>
        <v/>
      </c>
      <c r="J27" s="28" t="str">
        <f t="shared" ca="1" si="6"/>
        <v/>
      </c>
      <c r="K27" s="28" t="str">
        <f t="shared" ca="1" si="6"/>
        <v/>
      </c>
      <c r="L27" s="28" t="str">
        <f t="shared" ca="1" si="6"/>
        <v/>
      </c>
      <c r="M27" s="28" t="str">
        <f t="shared" ca="1" si="6"/>
        <v/>
      </c>
      <c r="N27" s="28" t="str">
        <f t="shared" ca="1" si="6"/>
        <v/>
      </c>
      <c r="O27" s="28" t="str">
        <f t="shared" ca="1" si="6"/>
        <v/>
      </c>
      <c r="P27" s="28" t="str">
        <f t="shared" ca="1" si="6"/>
        <v/>
      </c>
      <c r="Q27" s="28" t="str">
        <f t="shared" ca="1" si="6"/>
        <v/>
      </c>
      <c r="R27" s="28" t="str">
        <f t="shared" ca="1" si="7"/>
        <v/>
      </c>
      <c r="S27" s="28" t="str">
        <f t="shared" ca="1" si="7"/>
        <v/>
      </c>
      <c r="T27" s="28" t="str">
        <f t="shared" ca="1" si="7"/>
        <v/>
      </c>
      <c r="U27" s="28" t="str">
        <f t="shared" ca="1" si="7"/>
        <v/>
      </c>
      <c r="V27" s="28" t="str">
        <f t="shared" ca="1" si="7"/>
        <v/>
      </c>
      <c r="W27" s="28" t="str">
        <f t="shared" ca="1" si="7"/>
        <v/>
      </c>
      <c r="X27" s="28" t="str">
        <f t="shared" ca="1" si="7"/>
        <v/>
      </c>
      <c r="Y27" s="28" t="str">
        <f t="shared" ca="1" si="7"/>
        <v/>
      </c>
      <c r="Z27" s="28" t="str">
        <f t="shared" ca="1" si="7"/>
        <v/>
      </c>
      <c r="AA27" s="28" t="str">
        <f t="shared" ca="1" si="7"/>
        <v/>
      </c>
      <c r="AB27" s="28" t="str">
        <f t="shared" ca="1" si="8"/>
        <v/>
      </c>
      <c r="AC27" s="28" t="str">
        <f t="shared" ca="1" si="8"/>
        <v/>
      </c>
      <c r="AD27" s="28" t="str">
        <f t="shared" ca="1" si="8"/>
        <v/>
      </c>
      <c r="AE27" s="28" t="str">
        <f t="shared" ca="1" si="8"/>
        <v/>
      </c>
      <c r="AF27" s="28" t="str">
        <f t="shared" ca="1" si="8"/>
        <v/>
      </c>
      <c r="AG27" s="28" t="str">
        <f t="shared" ca="1" si="8"/>
        <v/>
      </c>
      <c r="AH27" s="28" t="str">
        <f t="shared" ca="1" si="8"/>
        <v/>
      </c>
      <c r="AI27" s="28" t="str">
        <f t="shared" ca="1" si="8"/>
        <v/>
      </c>
      <c r="AJ27" s="28" t="str">
        <f t="shared" ca="1" si="8"/>
        <v/>
      </c>
      <c r="AK27" s="28" t="str">
        <f t="shared" ca="1" si="8"/>
        <v/>
      </c>
      <c r="AL27" s="28" t="str">
        <f t="shared" ca="1" si="9"/>
        <v/>
      </c>
      <c r="AM27" s="28" t="str">
        <f t="shared" ca="1" si="9"/>
        <v/>
      </c>
      <c r="AN27" s="28" t="str">
        <f t="shared" ca="1" si="9"/>
        <v/>
      </c>
      <c r="AO27" s="28" t="str">
        <f t="shared" ca="1" si="9"/>
        <v/>
      </c>
      <c r="AP27" s="28" t="str">
        <f t="shared" ca="1" si="9"/>
        <v/>
      </c>
      <c r="AQ27" s="28" t="str">
        <f t="shared" ca="1" si="9"/>
        <v/>
      </c>
      <c r="AR27" s="28" t="str">
        <f t="shared" ca="1" si="9"/>
        <v/>
      </c>
      <c r="AS27" s="28" t="str">
        <f t="shared" ca="1" si="9"/>
        <v/>
      </c>
      <c r="AT27" s="28" t="str">
        <f t="shared" ca="1" si="9"/>
        <v/>
      </c>
      <c r="AU27" s="28" t="str">
        <f t="shared" ca="1" si="9"/>
        <v/>
      </c>
      <c r="AV27" s="28" t="str">
        <f t="shared" ca="1" si="10"/>
        <v/>
      </c>
      <c r="AW27" s="28" t="str">
        <f t="shared" ca="1" si="10"/>
        <v/>
      </c>
      <c r="AX27" s="28" t="str">
        <f t="shared" ca="1" si="10"/>
        <v/>
      </c>
      <c r="AY27" s="28" t="str">
        <f t="shared" ca="1" si="10"/>
        <v/>
      </c>
      <c r="AZ27" s="28" t="str">
        <f t="shared" ca="1" si="10"/>
        <v/>
      </c>
      <c r="BA27" s="28" t="str">
        <f t="shared" ca="1" si="10"/>
        <v/>
      </c>
      <c r="BB27" s="28" t="str">
        <f t="shared" ca="1" si="10"/>
        <v/>
      </c>
      <c r="BC27" s="28" t="str">
        <f t="shared" ca="1" si="10"/>
        <v/>
      </c>
      <c r="BD27" s="28" t="str">
        <f t="shared" ca="1" si="10"/>
        <v/>
      </c>
      <c r="BE27" s="28" t="str">
        <f t="shared" ca="1" si="10"/>
        <v/>
      </c>
      <c r="BF27" s="28" t="str">
        <f t="shared" ca="1" si="11"/>
        <v/>
      </c>
      <c r="BG27" s="28" t="str">
        <f t="shared" ca="1" si="11"/>
        <v/>
      </c>
      <c r="BH27" s="28" t="str">
        <f t="shared" ca="1" si="11"/>
        <v/>
      </c>
      <c r="BI27" s="28" t="str">
        <f t="shared" ca="1" si="11"/>
        <v/>
      </c>
      <c r="BJ27" s="28" t="str">
        <f t="shared" ca="1" si="11"/>
        <v/>
      </c>
      <c r="BK27" s="28" t="str">
        <f t="shared" ca="1" si="11"/>
        <v/>
      </c>
    </row>
    <row r="28" spans="1:63" s="1" customFormat="1" ht="30" customHeight="1" x14ac:dyDescent="0.3">
      <c r="A28" s="10"/>
      <c r="B28" s="39" t="s">
        <v>57</v>
      </c>
      <c r="C28" s="26" t="s">
        <v>24</v>
      </c>
      <c r="D28" s="23">
        <v>0.33</v>
      </c>
      <c r="E28" s="24">
        <f>E27+5</f>
        <v>45848</v>
      </c>
      <c r="F28" s="25">
        <v>11</v>
      </c>
      <c r="G28" s="19"/>
      <c r="H28" s="28" t="str">
        <f t="shared" ca="1" si="6"/>
        <v/>
      </c>
      <c r="I28" s="28" t="str">
        <f t="shared" ca="1" si="6"/>
        <v/>
      </c>
      <c r="J28" s="28" t="str">
        <f t="shared" ca="1" si="6"/>
        <v/>
      </c>
      <c r="K28" s="28" t="str">
        <f t="shared" ca="1" si="6"/>
        <v/>
      </c>
      <c r="L28" s="28" t="str">
        <f t="shared" ca="1" si="6"/>
        <v/>
      </c>
      <c r="M28" s="28" t="str">
        <f t="shared" ca="1" si="6"/>
        <v/>
      </c>
      <c r="N28" s="28" t="str">
        <f t="shared" ca="1" si="6"/>
        <v/>
      </c>
      <c r="O28" s="28" t="str">
        <f t="shared" ca="1" si="6"/>
        <v/>
      </c>
      <c r="P28" s="28" t="str">
        <f t="shared" ca="1" si="6"/>
        <v/>
      </c>
      <c r="Q28" s="28" t="str">
        <f t="shared" ca="1" si="6"/>
        <v/>
      </c>
      <c r="R28" s="28" t="str">
        <f t="shared" ca="1" si="7"/>
        <v/>
      </c>
      <c r="S28" s="28" t="str">
        <f t="shared" ca="1" si="7"/>
        <v/>
      </c>
      <c r="T28" s="28" t="str">
        <f t="shared" ca="1" si="7"/>
        <v/>
      </c>
      <c r="U28" s="28" t="str">
        <f t="shared" ca="1" si="7"/>
        <v/>
      </c>
      <c r="V28" s="28" t="str">
        <f t="shared" ca="1" si="7"/>
        <v/>
      </c>
      <c r="W28" s="28" t="str">
        <f t="shared" ca="1" si="7"/>
        <v/>
      </c>
      <c r="X28" s="28" t="str">
        <f t="shared" ca="1" si="7"/>
        <v/>
      </c>
      <c r="Y28" s="28" t="str">
        <f t="shared" ca="1" si="7"/>
        <v/>
      </c>
      <c r="Z28" s="28" t="str">
        <f t="shared" ca="1" si="7"/>
        <v/>
      </c>
      <c r="AA28" s="28" t="str">
        <f t="shared" ca="1" si="7"/>
        <v/>
      </c>
      <c r="AB28" s="28" t="str">
        <f t="shared" ca="1" si="8"/>
        <v/>
      </c>
      <c r="AC28" s="28" t="str">
        <f t="shared" ca="1" si="8"/>
        <v/>
      </c>
      <c r="AD28" s="28" t="str">
        <f t="shared" ca="1" si="8"/>
        <v/>
      </c>
      <c r="AE28" s="28" t="str">
        <f t="shared" ca="1" si="8"/>
        <v/>
      </c>
      <c r="AF28" s="28" t="str">
        <f t="shared" ca="1" si="8"/>
        <v/>
      </c>
      <c r="AG28" s="28" t="str">
        <f t="shared" ca="1" si="8"/>
        <v/>
      </c>
      <c r="AH28" s="28" t="str">
        <f t="shared" ca="1" si="8"/>
        <v/>
      </c>
      <c r="AI28" s="28" t="str">
        <f t="shared" ca="1" si="8"/>
        <v/>
      </c>
      <c r="AJ28" s="28" t="str">
        <f t="shared" ca="1" si="8"/>
        <v/>
      </c>
      <c r="AK28" s="28" t="str">
        <f t="shared" ca="1" si="8"/>
        <v/>
      </c>
      <c r="AL28" s="28" t="str">
        <f t="shared" ca="1" si="9"/>
        <v/>
      </c>
      <c r="AM28" s="28" t="str">
        <f t="shared" ca="1" si="9"/>
        <v/>
      </c>
      <c r="AN28" s="28" t="str">
        <f t="shared" ca="1" si="9"/>
        <v/>
      </c>
      <c r="AO28" s="28" t="str">
        <f t="shared" ca="1" si="9"/>
        <v/>
      </c>
      <c r="AP28" s="28" t="str">
        <f t="shared" ca="1" si="9"/>
        <v/>
      </c>
      <c r="AQ28" s="28" t="str">
        <f t="shared" ca="1" si="9"/>
        <v/>
      </c>
      <c r="AR28" s="28" t="str">
        <f t="shared" ca="1" si="9"/>
        <v/>
      </c>
      <c r="AS28" s="28" t="str">
        <f t="shared" ca="1" si="9"/>
        <v/>
      </c>
      <c r="AT28" s="28" t="str">
        <f t="shared" ca="1" si="9"/>
        <v/>
      </c>
      <c r="AU28" s="28" t="str">
        <f t="shared" ca="1" si="9"/>
        <v/>
      </c>
      <c r="AV28" s="28" t="str">
        <f t="shared" ca="1" si="10"/>
        <v/>
      </c>
      <c r="AW28" s="28" t="str">
        <f t="shared" ca="1" si="10"/>
        <v/>
      </c>
      <c r="AX28" s="28" t="str">
        <f t="shared" ca="1" si="10"/>
        <v/>
      </c>
      <c r="AY28" s="28" t="str">
        <f t="shared" ca="1" si="10"/>
        <v/>
      </c>
      <c r="AZ28" s="28" t="str">
        <f t="shared" ca="1" si="10"/>
        <v/>
      </c>
      <c r="BA28" s="28" t="str">
        <f t="shared" ca="1" si="10"/>
        <v/>
      </c>
      <c r="BB28" s="28" t="str">
        <f t="shared" ca="1" si="10"/>
        <v/>
      </c>
      <c r="BC28" s="28" t="str">
        <f t="shared" ca="1" si="10"/>
        <v/>
      </c>
      <c r="BD28" s="28" t="str">
        <f t="shared" ca="1" si="10"/>
        <v/>
      </c>
      <c r="BE28" s="28" t="str">
        <f t="shared" ca="1" si="10"/>
        <v/>
      </c>
      <c r="BF28" s="28" t="str">
        <f t="shared" ca="1" si="11"/>
        <v/>
      </c>
      <c r="BG28" s="28" t="str">
        <f t="shared" ca="1" si="11"/>
        <v/>
      </c>
      <c r="BH28" s="28" t="str">
        <f t="shared" ca="1" si="11"/>
        <v/>
      </c>
      <c r="BI28" s="28" t="str">
        <f t="shared" ca="1" si="11"/>
        <v/>
      </c>
      <c r="BJ28" s="28" t="str">
        <f t="shared" ca="1" si="11"/>
        <v/>
      </c>
      <c r="BK28" s="28" t="str">
        <f t="shared" ca="1" si="11"/>
        <v/>
      </c>
    </row>
    <row r="29" spans="1:63" s="1" customFormat="1" ht="30" customHeight="1" x14ac:dyDescent="0.3">
      <c r="A29" s="10"/>
      <c r="B29" s="39" t="s">
        <v>58</v>
      </c>
      <c r="C29" s="26" t="s">
        <v>24</v>
      </c>
      <c r="D29" s="23">
        <v>0.33</v>
      </c>
      <c r="E29" s="24">
        <f>E28+2</f>
        <v>45850</v>
      </c>
      <c r="F29" s="25">
        <v>1</v>
      </c>
      <c r="G29" s="19"/>
      <c r="H29" s="28" t="str">
        <f t="shared" ref="H29:Q44" ca="1" si="16">IF(AND($C29="Objetivo",H$5&gt;=$E29,H$5&lt;=$E29+$F29-1),2,IF(AND($C29="Hito",H$5&gt;=$E29,H$5&lt;=$E29+$F29-1),1,""))</f>
        <v/>
      </c>
      <c r="I29" s="28" t="str">
        <f t="shared" ca="1" si="16"/>
        <v/>
      </c>
      <c r="J29" s="28" t="str">
        <f t="shared" ca="1" si="16"/>
        <v/>
      </c>
      <c r="K29" s="28" t="str">
        <f t="shared" ca="1" si="16"/>
        <v/>
      </c>
      <c r="L29" s="28" t="str">
        <f t="shared" ca="1" si="16"/>
        <v/>
      </c>
      <c r="M29" s="28" t="str">
        <f t="shared" ca="1" si="16"/>
        <v/>
      </c>
      <c r="N29" s="28" t="str">
        <f t="shared" ca="1" si="16"/>
        <v/>
      </c>
      <c r="O29" s="28" t="str">
        <f t="shared" ca="1" si="16"/>
        <v/>
      </c>
      <c r="P29" s="28" t="str">
        <f t="shared" ca="1" si="16"/>
        <v/>
      </c>
      <c r="Q29" s="28" t="str">
        <f t="shared" ca="1" si="16"/>
        <v/>
      </c>
      <c r="R29" s="28" t="str">
        <f t="shared" ref="R29:AA35" ca="1" si="17">IF(AND($C29="Objetivo",R$5&gt;=$E29,R$5&lt;=$E29+$F29-1),2,IF(AND($C29="Hito",R$5&gt;=$E29,R$5&lt;=$E29+$F29-1),1,""))</f>
        <v/>
      </c>
      <c r="S29" s="28" t="str">
        <f t="shared" ca="1" si="17"/>
        <v/>
      </c>
      <c r="T29" s="28" t="str">
        <f t="shared" ca="1" si="17"/>
        <v/>
      </c>
      <c r="U29" s="28" t="str">
        <f t="shared" ca="1" si="17"/>
        <v/>
      </c>
      <c r="V29" s="28" t="str">
        <f t="shared" ca="1" si="17"/>
        <v/>
      </c>
      <c r="W29" s="28" t="str">
        <f t="shared" ca="1" si="17"/>
        <v/>
      </c>
      <c r="X29" s="28" t="str">
        <f t="shared" ca="1" si="17"/>
        <v/>
      </c>
      <c r="Y29" s="28" t="str">
        <f t="shared" ca="1" si="17"/>
        <v/>
      </c>
      <c r="Z29" s="28" t="str">
        <f t="shared" ca="1" si="17"/>
        <v/>
      </c>
      <c r="AA29" s="28" t="str">
        <f t="shared" ca="1" si="17"/>
        <v/>
      </c>
      <c r="AB29" s="28" t="str">
        <f t="shared" ref="AB29:AK35" ca="1" si="18">IF(AND($C29="Objetivo",AB$5&gt;=$E29,AB$5&lt;=$E29+$F29-1),2,IF(AND($C29="Hito",AB$5&gt;=$E29,AB$5&lt;=$E29+$F29-1),1,""))</f>
        <v/>
      </c>
      <c r="AC29" s="28" t="str">
        <f t="shared" ca="1" si="18"/>
        <v/>
      </c>
      <c r="AD29" s="28" t="str">
        <f t="shared" ca="1" si="18"/>
        <v/>
      </c>
      <c r="AE29" s="28" t="str">
        <f t="shared" ca="1" si="18"/>
        <v/>
      </c>
      <c r="AF29" s="28" t="str">
        <f t="shared" ca="1" si="18"/>
        <v/>
      </c>
      <c r="AG29" s="28" t="str">
        <f t="shared" ca="1" si="18"/>
        <v/>
      </c>
      <c r="AH29" s="28" t="str">
        <f t="shared" ca="1" si="18"/>
        <v/>
      </c>
      <c r="AI29" s="28" t="str">
        <f t="shared" ca="1" si="18"/>
        <v/>
      </c>
      <c r="AJ29" s="28" t="str">
        <f t="shared" ca="1" si="18"/>
        <v/>
      </c>
      <c r="AK29" s="28" t="str">
        <f t="shared" ca="1" si="18"/>
        <v/>
      </c>
      <c r="AL29" s="28" t="str">
        <f t="shared" ref="AL29:AU35" ca="1" si="19">IF(AND($C29="Objetivo",AL$5&gt;=$E29,AL$5&lt;=$E29+$F29-1),2,IF(AND($C29="Hito",AL$5&gt;=$E29,AL$5&lt;=$E29+$F29-1),1,""))</f>
        <v/>
      </c>
      <c r="AM29" s="28" t="str">
        <f t="shared" ca="1" si="19"/>
        <v/>
      </c>
      <c r="AN29" s="28" t="str">
        <f t="shared" ca="1" si="19"/>
        <v/>
      </c>
      <c r="AO29" s="28" t="str">
        <f t="shared" ca="1" si="19"/>
        <v/>
      </c>
      <c r="AP29" s="28" t="str">
        <f t="shared" ca="1" si="19"/>
        <v/>
      </c>
      <c r="AQ29" s="28" t="str">
        <f t="shared" ca="1" si="19"/>
        <v/>
      </c>
      <c r="AR29" s="28" t="str">
        <f t="shared" ca="1" si="19"/>
        <v/>
      </c>
      <c r="AS29" s="28" t="str">
        <f t="shared" ca="1" si="19"/>
        <v/>
      </c>
      <c r="AT29" s="28" t="str">
        <f t="shared" ca="1" si="19"/>
        <v/>
      </c>
      <c r="AU29" s="28" t="str">
        <f t="shared" ca="1" si="19"/>
        <v/>
      </c>
      <c r="AV29" s="28" t="str">
        <f t="shared" ref="AV29:BE35" ca="1" si="20">IF(AND($C29="Objetivo",AV$5&gt;=$E29,AV$5&lt;=$E29+$F29-1),2,IF(AND($C29="Hito",AV$5&gt;=$E29,AV$5&lt;=$E29+$F29-1),1,""))</f>
        <v/>
      </c>
      <c r="AW29" s="28" t="str">
        <f t="shared" ca="1" si="20"/>
        <v/>
      </c>
      <c r="AX29" s="28" t="str">
        <f t="shared" ca="1" si="20"/>
        <v/>
      </c>
      <c r="AY29" s="28" t="str">
        <f t="shared" ca="1" si="20"/>
        <v/>
      </c>
      <c r="AZ29" s="28" t="str">
        <f t="shared" ca="1" si="20"/>
        <v/>
      </c>
      <c r="BA29" s="28" t="str">
        <f t="shared" ca="1" si="20"/>
        <v/>
      </c>
      <c r="BB29" s="28" t="str">
        <f t="shared" ca="1" si="20"/>
        <v/>
      </c>
      <c r="BC29" s="28" t="str">
        <f t="shared" ca="1" si="20"/>
        <v/>
      </c>
      <c r="BD29" s="28" t="str">
        <f t="shared" ca="1" si="20"/>
        <v/>
      </c>
      <c r="BE29" s="28" t="str">
        <f t="shared" ca="1" si="20"/>
        <v/>
      </c>
      <c r="BF29" s="28" t="str">
        <f t="shared" ref="BF29:BK35" ca="1" si="21">IF(AND($C29="Objetivo",BF$5&gt;=$E29,BF$5&lt;=$E29+$F29-1),2,IF(AND($C29="Hito",BF$5&gt;=$E29,BF$5&lt;=$E29+$F29-1),1,""))</f>
        <v/>
      </c>
      <c r="BG29" s="28" t="str">
        <f t="shared" ca="1" si="21"/>
        <v/>
      </c>
      <c r="BH29" s="28" t="str">
        <f t="shared" ca="1" si="21"/>
        <v/>
      </c>
      <c r="BI29" s="28" t="str">
        <f t="shared" ca="1" si="21"/>
        <v/>
      </c>
      <c r="BJ29" s="28" t="str">
        <f t="shared" ca="1" si="21"/>
        <v/>
      </c>
      <c r="BK29" s="28" t="str">
        <f t="shared" ca="1" si="21"/>
        <v/>
      </c>
    </row>
    <row r="30" spans="1:63" s="1" customFormat="1" ht="30" customHeight="1" x14ac:dyDescent="0.3">
      <c r="A30" s="10"/>
      <c r="B30" s="39" t="s">
        <v>59</v>
      </c>
      <c r="C30" s="26" t="s">
        <v>24</v>
      </c>
      <c r="D30" s="23">
        <v>0.33</v>
      </c>
      <c r="E30" s="24">
        <f>E29+1</f>
        <v>45851</v>
      </c>
      <c r="F30" s="25">
        <v>24</v>
      </c>
      <c r="G30" s="19"/>
      <c r="H30" s="28" t="str">
        <f t="shared" ca="1" si="16"/>
        <v/>
      </c>
      <c r="I30" s="28" t="str">
        <f t="shared" ca="1" si="16"/>
        <v/>
      </c>
      <c r="J30" s="28" t="str">
        <f t="shared" ca="1" si="16"/>
        <v/>
      </c>
      <c r="K30" s="28" t="str">
        <f t="shared" ca="1" si="16"/>
        <v/>
      </c>
      <c r="L30" s="28" t="str">
        <f t="shared" ca="1" si="16"/>
        <v/>
      </c>
      <c r="M30" s="28" t="str">
        <f t="shared" ca="1" si="16"/>
        <v/>
      </c>
      <c r="N30" s="28" t="str">
        <f t="shared" ca="1" si="16"/>
        <v/>
      </c>
      <c r="O30" s="28" t="str">
        <f t="shared" ca="1" si="16"/>
        <v/>
      </c>
      <c r="P30" s="28" t="str">
        <f t="shared" ca="1" si="16"/>
        <v/>
      </c>
      <c r="Q30" s="28" t="str">
        <f t="shared" ca="1" si="16"/>
        <v/>
      </c>
      <c r="R30" s="28" t="str">
        <f t="shared" ca="1" si="17"/>
        <v/>
      </c>
      <c r="S30" s="28" t="str">
        <f t="shared" ca="1" si="17"/>
        <v/>
      </c>
      <c r="T30" s="28" t="str">
        <f t="shared" ca="1" si="17"/>
        <v/>
      </c>
      <c r="U30" s="28" t="str">
        <f t="shared" ca="1" si="17"/>
        <v/>
      </c>
      <c r="V30" s="28" t="str">
        <f t="shared" ca="1" si="17"/>
        <v/>
      </c>
      <c r="W30" s="28" t="str">
        <f t="shared" ca="1" si="17"/>
        <v/>
      </c>
      <c r="X30" s="28" t="str">
        <f t="shared" ca="1" si="17"/>
        <v/>
      </c>
      <c r="Y30" s="28" t="str">
        <f t="shared" ca="1" si="17"/>
        <v/>
      </c>
      <c r="Z30" s="28" t="str">
        <f t="shared" ca="1" si="17"/>
        <v/>
      </c>
      <c r="AA30" s="28" t="str">
        <f t="shared" ca="1" si="17"/>
        <v/>
      </c>
      <c r="AB30" s="28" t="str">
        <f t="shared" ca="1" si="18"/>
        <v/>
      </c>
      <c r="AC30" s="28" t="str">
        <f t="shared" ca="1" si="18"/>
        <v/>
      </c>
      <c r="AD30" s="28" t="str">
        <f t="shared" ca="1" si="18"/>
        <v/>
      </c>
      <c r="AE30" s="28" t="str">
        <f t="shared" ca="1" si="18"/>
        <v/>
      </c>
      <c r="AF30" s="28" t="str">
        <f t="shared" ca="1" si="18"/>
        <v/>
      </c>
      <c r="AG30" s="28" t="str">
        <f t="shared" ca="1" si="18"/>
        <v/>
      </c>
      <c r="AH30" s="28" t="str">
        <f t="shared" ca="1" si="18"/>
        <v/>
      </c>
      <c r="AI30" s="28" t="str">
        <f t="shared" ca="1" si="18"/>
        <v/>
      </c>
      <c r="AJ30" s="28" t="str">
        <f t="shared" ca="1" si="18"/>
        <v/>
      </c>
      <c r="AK30" s="28" t="str">
        <f t="shared" ca="1" si="18"/>
        <v/>
      </c>
      <c r="AL30" s="28" t="str">
        <f t="shared" ca="1" si="19"/>
        <v/>
      </c>
      <c r="AM30" s="28" t="str">
        <f t="shared" ca="1" si="19"/>
        <v/>
      </c>
      <c r="AN30" s="28" t="str">
        <f t="shared" ca="1" si="19"/>
        <v/>
      </c>
      <c r="AO30" s="28" t="str">
        <f t="shared" ca="1" si="19"/>
        <v/>
      </c>
      <c r="AP30" s="28" t="str">
        <f t="shared" ca="1" si="19"/>
        <v/>
      </c>
      <c r="AQ30" s="28" t="str">
        <f t="shared" ca="1" si="19"/>
        <v/>
      </c>
      <c r="AR30" s="28" t="str">
        <f t="shared" ca="1" si="19"/>
        <v/>
      </c>
      <c r="AS30" s="28" t="str">
        <f t="shared" ca="1" si="19"/>
        <v/>
      </c>
      <c r="AT30" s="28" t="str">
        <f t="shared" ca="1" si="19"/>
        <v/>
      </c>
      <c r="AU30" s="28" t="str">
        <f t="shared" ca="1" si="19"/>
        <v/>
      </c>
      <c r="AV30" s="28" t="str">
        <f t="shared" ca="1" si="20"/>
        <v/>
      </c>
      <c r="AW30" s="28" t="str">
        <f t="shared" ca="1" si="20"/>
        <v/>
      </c>
      <c r="AX30" s="28" t="str">
        <f t="shared" ca="1" si="20"/>
        <v/>
      </c>
      <c r="AY30" s="28" t="str">
        <f t="shared" ca="1" si="20"/>
        <v/>
      </c>
      <c r="AZ30" s="28" t="str">
        <f t="shared" ca="1" si="20"/>
        <v/>
      </c>
      <c r="BA30" s="28" t="str">
        <f t="shared" ca="1" si="20"/>
        <v/>
      </c>
      <c r="BB30" s="28" t="str">
        <f t="shared" ca="1" si="20"/>
        <v/>
      </c>
      <c r="BC30" s="28" t="str">
        <f t="shared" ca="1" si="20"/>
        <v/>
      </c>
      <c r="BD30" s="28" t="str">
        <f t="shared" ca="1" si="20"/>
        <v/>
      </c>
      <c r="BE30" s="28" t="str">
        <f t="shared" ca="1" si="20"/>
        <v/>
      </c>
      <c r="BF30" s="28" t="str">
        <f t="shared" ca="1" si="21"/>
        <v/>
      </c>
      <c r="BG30" s="28" t="str">
        <f t="shared" ca="1" si="21"/>
        <v/>
      </c>
      <c r="BH30" s="28" t="str">
        <f t="shared" ca="1" si="21"/>
        <v/>
      </c>
      <c r="BI30" s="28" t="str">
        <f t="shared" ca="1" si="21"/>
        <v/>
      </c>
      <c r="BJ30" s="28" t="str">
        <f t="shared" ca="1" si="21"/>
        <v/>
      </c>
      <c r="BK30" s="28" t="str">
        <f t="shared" ca="1" si="21"/>
        <v/>
      </c>
    </row>
    <row r="31" spans="1:63" s="1" customFormat="1" ht="30" customHeight="1" x14ac:dyDescent="0.3">
      <c r="A31" s="10"/>
      <c r="B31" s="39" t="s">
        <v>60</v>
      </c>
      <c r="C31" s="26" t="s">
        <v>24</v>
      </c>
      <c r="D31" s="23">
        <v>0.33</v>
      </c>
      <c r="E31" s="24">
        <f t="shared" ref="E31" si="22">E30+2</f>
        <v>45853</v>
      </c>
      <c r="F31" s="25">
        <v>47</v>
      </c>
      <c r="G31" s="19"/>
      <c r="H31" s="28" t="str">
        <f t="shared" ca="1" si="16"/>
        <v/>
      </c>
      <c r="I31" s="28" t="str">
        <f t="shared" ca="1" si="16"/>
        <v/>
      </c>
      <c r="J31" s="28" t="str">
        <f t="shared" ca="1" si="16"/>
        <v/>
      </c>
      <c r="K31" s="28" t="str">
        <f t="shared" ca="1" si="16"/>
        <v/>
      </c>
      <c r="L31" s="28" t="str">
        <f t="shared" ca="1" si="16"/>
        <v/>
      </c>
      <c r="M31" s="28" t="str">
        <f t="shared" ca="1" si="16"/>
        <v/>
      </c>
      <c r="N31" s="28" t="str">
        <f t="shared" ca="1" si="16"/>
        <v/>
      </c>
      <c r="O31" s="28" t="str">
        <f t="shared" ca="1" si="16"/>
        <v/>
      </c>
      <c r="P31" s="28" t="str">
        <f t="shared" ca="1" si="16"/>
        <v/>
      </c>
      <c r="Q31" s="28" t="str">
        <f t="shared" ca="1" si="16"/>
        <v/>
      </c>
      <c r="R31" s="28" t="str">
        <f t="shared" ca="1" si="17"/>
        <v/>
      </c>
      <c r="S31" s="28" t="str">
        <f t="shared" ca="1" si="17"/>
        <v/>
      </c>
      <c r="T31" s="28" t="str">
        <f t="shared" ca="1" si="17"/>
        <v/>
      </c>
      <c r="U31" s="28" t="str">
        <f t="shared" ca="1" si="17"/>
        <v/>
      </c>
      <c r="V31" s="28" t="str">
        <f t="shared" ca="1" si="17"/>
        <v/>
      </c>
      <c r="W31" s="28" t="str">
        <f t="shared" ca="1" si="17"/>
        <v/>
      </c>
      <c r="X31" s="28" t="str">
        <f t="shared" ca="1" si="17"/>
        <v/>
      </c>
      <c r="Y31" s="28" t="str">
        <f t="shared" ca="1" si="17"/>
        <v/>
      </c>
      <c r="Z31" s="28" t="str">
        <f t="shared" ca="1" si="17"/>
        <v/>
      </c>
      <c r="AA31" s="28" t="str">
        <f t="shared" ca="1" si="17"/>
        <v/>
      </c>
      <c r="AB31" s="28" t="str">
        <f t="shared" ca="1" si="18"/>
        <v/>
      </c>
      <c r="AC31" s="28" t="str">
        <f t="shared" ca="1" si="18"/>
        <v/>
      </c>
      <c r="AD31" s="28" t="str">
        <f t="shared" ca="1" si="18"/>
        <v/>
      </c>
      <c r="AE31" s="28" t="str">
        <f t="shared" ca="1" si="18"/>
        <v/>
      </c>
      <c r="AF31" s="28" t="str">
        <f t="shared" ca="1" si="18"/>
        <v/>
      </c>
      <c r="AG31" s="28" t="str">
        <f t="shared" ca="1" si="18"/>
        <v/>
      </c>
      <c r="AH31" s="28" t="str">
        <f t="shared" ca="1" si="18"/>
        <v/>
      </c>
      <c r="AI31" s="28" t="str">
        <f t="shared" ca="1" si="18"/>
        <v/>
      </c>
      <c r="AJ31" s="28" t="str">
        <f t="shared" ca="1" si="18"/>
        <v/>
      </c>
      <c r="AK31" s="28" t="str">
        <f t="shared" ca="1" si="18"/>
        <v/>
      </c>
      <c r="AL31" s="28" t="str">
        <f t="shared" ca="1" si="19"/>
        <v/>
      </c>
      <c r="AM31" s="28" t="str">
        <f t="shared" ca="1" si="19"/>
        <v/>
      </c>
      <c r="AN31" s="28" t="str">
        <f t="shared" ca="1" si="19"/>
        <v/>
      </c>
      <c r="AO31" s="28" t="str">
        <f t="shared" ca="1" si="19"/>
        <v/>
      </c>
      <c r="AP31" s="28" t="str">
        <f t="shared" ca="1" si="19"/>
        <v/>
      </c>
      <c r="AQ31" s="28" t="str">
        <f t="shared" ca="1" si="19"/>
        <v/>
      </c>
      <c r="AR31" s="28" t="str">
        <f t="shared" ca="1" si="19"/>
        <v/>
      </c>
      <c r="AS31" s="28" t="str">
        <f t="shared" ca="1" si="19"/>
        <v/>
      </c>
      <c r="AT31" s="28" t="str">
        <f t="shared" ca="1" si="19"/>
        <v/>
      </c>
      <c r="AU31" s="28" t="str">
        <f t="shared" ca="1" si="19"/>
        <v/>
      </c>
      <c r="AV31" s="28" t="str">
        <f t="shared" ca="1" si="20"/>
        <v/>
      </c>
      <c r="AW31" s="28" t="str">
        <f t="shared" ca="1" si="20"/>
        <v/>
      </c>
      <c r="AX31" s="28" t="str">
        <f t="shared" ca="1" si="20"/>
        <v/>
      </c>
      <c r="AY31" s="28" t="str">
        <f t="shared" ca="1" si="20"/>
        <v/>
      </c>
      <c r="AZ31" s="28" t="str">
        <f t="shared" ca="1" si="20"/>
        <v/>
      </c>
      <c r="BA31" s="28" t="str">
        <f t="shared" ca="1" si="20"/>
        <v/>
      </c>
      <c r="BB31" s="28" t="str">
        <f t="shared" ca="1" si="20"/>
        <v/>
      </c>
      <c r="BC31" s="28" t="str">
        <f t="shared" ca="1" si="20"/>
        <v/>
      </c>
      <c r="BD31" s="28" t="str">
        <f t="shared" ca="1" si="20"/>
        <v/>
      </c>
      <c r="BE31" s="28" t="str">
        <f t="shared" ca="1" si="20"/>
        <v/>
      </c>
      <c r="BF31" s="28" t="str">
        <f t="shared" ca="1" si="21"/>
        <v/>
      </c>
      <c r="BG31" s="28" t="str">
        <f t="shared" ca="1" si="21"/>
        <v/>
      </c>
      <c r="BH31" s="28" t="str">
        <f t="shared" ca="1" si="21"/>
        <v/>
      </c>
      <c r="BI31" s="28" t="str">
        <f t="shared" ca="1" si="21"/>
        <v/>
      </c>
      <c r="BJ31" s="28" t="str">
        <f t="shared" ca="1" si="21"/>
        <v/>
      </c>
      <c r="BK31" s="28" t="str">
        <f t="shared" ca="1" si="21"/>
        <v/>
      </c>
    </row>
    <row r="32" spans="1:63" s="1" customFormat="1" ht="30" customHeight="1" x14ac:dyDescent="0.3">
      <c r="A32" s="10"/>
      <c r="B32" s="39" t="s">
        <v>61</v>
      </c>
      <c r="C32" s="26" t="s">
        <v>24</v>
      </c>
      <c r="D32" s="23">
        <v>0.33</v>
      </c>
      <c r="E32" s="24">
        <f t="shared" ref="E32" si="23">E31+1</f>
        <v>45854</v>
      </c>
      <c r="F32" s="25">
        <v>70</v>
      </c>
      <c r="G32" s="19"/>
      <c r="H32" s="28" t="str">
        <f t="shared" ca="1" si="16"/>
        <v/>
      </c>
      <c r="I32" s="28" t="str">
        <f t="shared" ca="1" si="16"/>
        <v/>
      </c>
      <c r="J32" s="28" t="str">
        <f t="shared" ca="1" si="16"/>
        <v/>
      </c>
      <c r="K32" s="28" t="str">
        <f t="shared" ca="1" si="16"/>
        <v/>
      </c>
      <c r="L32" s="28" t="str">
        <f t="shared" ca="1" si="16"/>
        <v/>
      </c>
      <c r="M32" s="28" t="str">
        <f t="shared" ca="1" si="16"/>
        <v/>
      </c>
      <c r="N32" s="28" t="str">
        <f t="shared" ca="1" si="16"/>
        <v/>
      </c>
      <c r="O32" s="28" t="str">
        <f t="shared" ca="1" si="16"/>
        <v/>
      </c>
      <c r="P32" s="28" t="str">
        <f t="shared" ca="1" si="16"/>
        <v/>
      </c>
      <c r="Q32" s="28" t="str">
        <f t="shared" ca="1" si="16"/>
        <v/>
      </c>
      <c r="R32" s="28" t="str">
        <f t="shared" ca="1" si="17"/>
        <v/>
      </c>
      <c r="S32" s="28" t="str">
        <f t="shared" ca="1" si="17"/>
        <v/>
      </c>
      <c r="T32" s="28" t="str">
        <f t="shared" ca="1" si="17"/>
        <v/>
      </c>
      <c r="U32" s="28" t="str">
        <f t="shared" ca="1" si="17"/>
        <v/>
      </c>
      <c r="V32" s="28" t="str">
        <f t="shared" ca="1" si="17"/>
        <v/>
      </c>
      <c r="W32" s="28" t="str">
        <f t="shared" ca="1" si="17"/>
        <v/>
      </c>
      <c r="X32" s="28" t="str">
        <f t="shared" ca="1" si="17"/>
        <v/>
      </c>
      <c r="Y32" s="28" t="str">
        <f t="shared" ca="1" si="17"/>
        <v/>
      </c>
      <c r="Z32" s="28" t="str">
        <f t="shared" ca="1" si="17"/>
        <v/>
      </c>
      <c r="AA32" s="28" t="str">
        <f t="shared" ca="1" si="17"/>
        <v/>
      </c>
      <c r="AB32" s="28" t="str">
        <f t="shared" ca="1" si="18"/>
        <v/>
      </c>
      <c r="AC32" s="28" t="str">
        <f t="shared" ca="1" si="18"/>
        <v/>
      </c>
      <c r="AD32" s="28" t="str">
        <f t="shared" ca="1" si="18"/>
        <v/>
      </c>
      <c r="AE32" s="28" t="str">
        <f t="shared" ca="1" si="18"/>
        <v/>
      </c>
      <c r="AF32" s="28" t="str">
        <f t="shared" ca="1" si="18"/>
        <v/>
      </c>
      <c r="AG32" s="28" t="str">
        <f t="shared" ca="1" si="18"/>
        <v/>
      </c>
      <c r="AH32" s="28" t="str">
        <f t="shared" ca="1" si="18"/>
        <v/>
      </c>
      <c r="AI32" s="28" t="str">
        <f t="shared" ca="1" si="18"/>
        <v/>
      </c>
      <c r="AJ32" s="28" t="str">
        <f t="shared" ca="1" si="18"/>
        <v/>
      </c>
      <c r="AK32" s="28" t="str">
        <f t="shared" ca="1" si="18"/>
        <v/>
      </c>
      <c r="AL32" s="28" t="str">
        <f t="shared" ca="1" si="19"/>
        <v/>
      </c>
      <c r="AM32" s="28" t="str">
        <f t="shared" ca="1" si="19"/>
        <v/>
      </c>
      <c r="AN32" s="28" t="str">
        <f t="shared" ca="1" si="19"/>
        <v/>
      </c>
      <c r="AO32" s="28" t="str">
        <f t="shared" ca="1" si="19"/>
        <v/>
      </c>
      <c r="AP32" s="28" t="str">
        <f t="shared" ca="1" si="19"/>
        <v/>
      </c>
      <c r="AQ32" s="28" t="str">
        <f t="shared" ca="1" si="19"/>
        <v/>
      </c>
      <c r="AR32" s="28" t="str">
        <f t="shared" ca="1" si="19"/>
        <v/>
      </c>
      <c r="AS32" s="28" t="str">
        <f t="shared" ca="1" si="19"/>
        <v/>
      </c>
      <c r="AT32" s="28" t="str">
        <f t="shared" ca="1" si="19"/>
        <v/>
      </c>
      <c r="AU32" s="28" t="str">
        <f t="shared" ca="1" si="19"/>
        <v/>
      </c>
      <c r="AV32" s="28" t="str">
        <f t="shared" ca="1" si="20"/>
        <v/>
      </c>
      <c r="AW32" s="28" t="str">
        <f t="shared" ca="1" si="20"/>
        <v/>
      </c>
      <c r="AX32" s="28" t="str">
        <f t="shared" ca="1" si="20"/>
        <v/>
      </c>
      <c r="AY32" s="28" t="str">
        <f t="shared" ca="1" si="20"/>
        <v/>
      </c>
      <c r="AZ32" s="28" t="str">
        <f t="shared" ca="1" si="20"/>
        <v/>
      </c>
      <c r="BA32" s="28" t="str">
        <f t="shared" ca="1" si="20"/>
        <v/>
      </c>
      <c r="BB32" s="28" t="str">
        <f t="shared" ca="1" si="20"/>
        <v/>
      </c>
      <c r="BC32" s="28" t="str">
        <f t="shared" ca="1" si="20"/>
        <v/>
      </c>
      <c r="BD32" s="28" t="str">
        <f t="shared" ca="1" si="20"/>
        <v/>
      </c>
      <c r="BE32" s="28" t="str">
        <f t="shared" ca="1" si="20"/>
        <v/>
      </c>
      <c r="BF32" s="28" t="str">
        <f t="shared" ca="1" si="21"/>
        <v/>
      </c>
      <c r="BG32" s="28" t="str">
        <f t="shared" ca="1" si="21"/>
        <v/>
      </c>
      <c r="BH32" s="28" t="str">
        <f t="shared" ca="1" si="21"/>
        <v/>
      </c>
      <c r="BI32" s="28" t="str">
        <f t="shared" ca="1" si="21"/>
        <v/>
      </c>
      <c r="BJ32" s="28" t="str">
        <f t="shared" ca="1" si="21"/>
        <v/>
      </c>
      <c r="BK32" s="28" t="str">
        <f t="shared" ca="1" si="21"/>
        <v/>
      </c>
    </row>
    <row r="33" spans="1:64" s="1" customFormat="1" ht="30" customHeight="1" x14ac:dyDescent="0.3">
      <c r="A33" s="10"/>
      <c r="B33" s="39" t="s">
        <v>62</v>
      </c>
      <c r="C33" s="26" t="s">
        <v>24</v>
      </c>
      <c r="D33" s="23">
        <v>0.33</v>
      </c>
      <c r="E33" s="24">
        <f t="shared" ref="E33" si="24">E32+2</f>
        <v>45856</v>
      </c>
      <c r="F33" s="25">
        <v>93</v>
      </c>
      <c r="G33" s="19"/>
      <c r="H33" s="28" t="str">
        <f t="shared" ca="1" si="16"/>
        <v/>
      </c>
      <c r="I33" s="28" t="str">
        <f t="shared" ca="1" si="16"/>
        <v/>
      </c>
      <c r="J33" s="28" t="str">
        <f t="shared" ca="1" si="16"/>
        <v/>
      </c>
      <c r="K33" s="28" t="str">
        <f t="shared" ca="1" si="16"/>
        <v/>
      </c>
      <c r="L33" s="28" t="str">
        <f t="shared" ca="1" si="16"/>
        <v/>
      </c>
      <c r="M33" s="28" t="str">
        <f t="shared" ca="1" si="16"/>
        <v/>
      </c>
      <c r="N33" s="28" t="str">
        <f t="shared" ca="1" si="16"/>
        <v/>
      </c>
      <c r="O33" s="28" t="str">
        <f t="shared" ca="1" si="16"/>
        <v/>
      </c>
      <c r="P33" s="28" t="str">
        <f t="shared" ca="1" si="16"/>
        <v/>
      </c>
      <c r="Q33" s="28" t="str">
        <f t="shared" ca="1" si="16"/>
        <v/>
      </c>
      <c r="R33" s="28" t="str">
        <f t="shared" ca="1" si="17"/>
        <v/>
      </c>
      <c r="S33" s="28" t="str">
        <f t="shared" ca="1" si="17"/>
        <v/>
      </c>
      <c r="T33" s="28" t="str">
        <f t="shared" ca="1" si="17"/>
        <v/>
      </c>
      <c r="U33" s="28" t="str">
        <f t="shared" ca="1" si="17"/>
        <v/>
      </c>
      <c r="V33" s="28" t="str">
        <f t="shared" ca="1" si="17"/>
        <v/>
      </c>
      <c r="W33" s="28" t="str">
        <f t="shared" ca="1" si="17"/>
        <v/>
      </c>
      <c r="X33" s="28" t="str">
        <f t="shared" ca="1" si="17"/>
        <v/>
      </c>
      <c r="Y33" s="28" t="str">
        <f t="shared" ca="1" si="17"/>
        <v/>
      </c>
      <c r="Z33" s="28" t="str">
        <f t="shared" ca="1" si="17"/>
        <v/>
      </c>
      <c r="AA33" s="28" t="str">
        <f t="shared" ca="1" si="17"/>
        <v/>
      </c>
      <c r="AB33" s="28" t="str">
        <f t="shared" ca="1" si="18"/>
        <v/>
      </c>
      <c r="AC33" s="28" t="str">
        <f t="shared" ca="1" si="18"/>
        <v/>
      </c>
      <c r="AD33" s="28" t="str">
        <f t="shared" ca="1" si="18"/>
        <v/>
      </c>
      <c r="AE33" s="28" t="str">
        <f t="shared" ca="1" si="18"/>
        <v/>
      </c>
      <c r="AF33" s="28" t="str">
        <f t="shared" ca="1" si="18"/>
        <v/>
      </c>
      <c r="AG33" s="28" t="str">
        <f t="shared" ca="1" si="18"/>
        <v/>
      </c>
      <c r="AH33" s="28" t="str">
        <f t="shared" ca="1" si="18"/>
        <v/>
      </c>
      <c r="AI33" s="28" t="str">
        <f t="shared" ca="1" si="18"/>
        <v/>
      </c>
      <c r="AJ33" s="28" t="str">
        <f t="shared" ca="1" si="18"/>
        <v/>
      </c>
      <c r="AK33" s="28" t="str">
        <f t="shared" ca="1" si="18"/>
        <v/>
      </c>
      <c r="AL33" s="28" t="str">
        <f t="shared" ca="1" si="19"/>
        <v/>
      </c>
      <c r="AM33" s="28" t="str">
        <f t="shared" ca="1" si="19"/>
        <v/>
      </c>
      <c r="AN33" s="28" t="str">
        <f t="shared" ca="1" si="19"/>
        <v/>
      </c>
      <c r="AO33" s="28" t="str">
        <f t="shared" ca="1" si="19"/>
        <v/>
      </c>
      <c r="AP33" s="28" t="str">
        <f t="shared" ca="1" si="19"/>
        <v/>
      </c>
      <c r="AQ33" s="28" t="str">
        <f t="shared" ca="1" si="19"/>
        <v/>
      </c>
      <c r="AR33" s="28" t="str">
        <f t="shared" ca="1" si="19"/>
        <v/>
      </c>
      <c r="AS33" s="28" t="str">
        <f t="shared" ca="1" si="19"/>
        <v/>
      </c>
      <c r="AT33" s="28" t="str">
        <f t="shared" ca="1" si="19"/>
        <v/>
      </c>
      <c r="AU33" s="28" t="str">
        <f t="shared" ca="1" si="19"/>
        <v/>
      </c>
      <c r="AV33" s="28" t="str">
        <f t="shared" ca="1" si="20"/>
        <v/>
      </c>
      <c r="AW33" s="28" t="str">
        <f t="shared" ca="1" si="20"/>
        <v/>
      </c>
      <c r="AX33" s="28" t="str">
        <f t="shared" ca="1" si="20"/>
        <v/>
      </c>
      <c r="AY33" s="28" t="str">
        <f t="shared" ca="1" si="20"/>
        <v/>
      </c>
      <c r="AZ33" s="28" t="str">
        <f t="shared" ca="1" si="20"/>
        <v/>
      </c>
      <c r="BA33" s="28" t="str">
        <f t="shared" ca="1" si="20"/>
        <v/>
      </c>
      <c r="BB33" s="28" t="str">
        <f t="shared" ca="1" si="20"/>
        <v/>
      </c>
      <c r="BC33" s="28" t="str">
        <f t="shared" ca="1" si="20"/>
        <v/>
      </c>
      <c r="BD33" s="28" t="str">
        <f t="shared" ca="1" si="20"/>
        <v/>
      </c>
      <c r="BE33" s="28" t="str">
        <f t="shared" ca="1" si="20"/>
        <v/>
      </c>
      <c r="BF33" s="28" t="str">
        <f t="shared" ca="1" si="21"/>
        <v/>
      </c>
      <c r="BG33" s="28" t="str">
        <f t="shared" ca="1" si="21"/>
        <v/>
      </c>
      <c r="BH33" s="28" t="str">
        <f t="shared" ca="1" si="21"/>
        <v/>
      </c>
      <c r="BI33" s="28" t="str">
        <f t="shared" ca="1" si="21"/>
        <v/>
      </c>
      <c r="BJ33" s="28" t="str">
        <f t="shared" ca="1" si="21"/>
        <v/>
      </c>
      <c r="BK33" s="28" t="str">
        <f t="shared" ca="1" si="21"/>
        <v/>
      </c>
    </row>
    <row r="34" spans="1:64" s="1" customFormat="1" ht="30" customHeight="1" x14ac:dyDescent="0.3">
      <c r="A34" s="10"/>
      <c r="B34" s="39" t="s">
        <v>63</v>
      </c>
      <c r="C34" s="26" t="s">
        <v>24</v>
      </c>
      <c r="D34" s="23">
        <v>0.33</v>
      </c>
      <c r="E34" s="24">
        <f t="shared" ref="E34" si="25">E33+1</f>
        <v>45857</v>
      </c>
      <c r="F34" s="25">
        <v>116</v>
      </c>
      <c r="G34" s="19"/>
      <c r="H34" s="28" t="str">
        <f t="shared" ca="1" si="16"/>
        <v/>
      </c>
      <c r="I34" s="28" t="str">
        <f t="shared" ca="1" si="16"/>
        <v/>
      </c>
      <c r="J34" s="28" t="str">
        <f t="shared" ca="1" si="16"/>
        <v/>
      </c>
      <c r="K34" s="28" t="str">
        <f t="shared" ca="1" si="16"/>
        <v/>
      </c>
      <c r="L34" s="28" t="str">
        <f t="shared" ca="1" si="16"/>
        <v/>
      </c>
      <c r="M34" s="28" t="str">
        <f t="shared" ca="1" si="16"/>
        <v/>
      </c>
      <c r="N34" s="28" t="str">
        <f t="shared" ca="1" si="16"/>
        <v/>
      </c>
      <c r="O34" s="28" t="str">
        <f t="shared" ca="1" si="16"/>
        <v/>
      </c>
      <c r="P34" s="28" t="str">
        <f t="shared" ca="1" si="16"/>
        <v/>
      </c>
      <c r="Q34" s="28" t="str">
        <f t="shared" ca="1" si="16"/>
        <v/>
      </c>
      <c r="R34" s="28" t="str">
        <f t="shared" ca="1" si="17"/>
        <v/>
      </c>
      <c r="S34" s="28" t="str">
        <f t="shared" ca="1" si="17"/>
        <v/>
      </c>
      <c r="T34" s="28" t="str">
        <f t="shared" ca="1" si="17"/>
        <v/>
      </c>
      <c r="U34" s="28" t="str">
        <f t="shared" ca="1" si="17"/>
        <v/>
      </c>
      <c r="V34" s="28" t="str">
        <f t="shared" ca="1" si="17"/>
        <v/>
      </c>
      <c r="W34" s="28" t="str">
        <f t="shared" ca="1" si="17"/>
        <v/>
      </c>
      <c r="X34" s="28" t="str">
        <f t="shared" ca="1" si="17"/>
        <v/>
      </c>
      <c r="Y34" s="28" t="str">
        <f t="shared" ca="1" si="17"/>
        <v/>
      </c>
      <c r="Z34" s="28" t="str">
        <f t="shared" ca="1" si="17"/>
        <v/>
      </c>
      <c r="AA34" s="28" t="str">
        <f t="shared" ca="1" si="17"/>
        <v/>
      </c>
      <c r="AB34" s="28" t="str">
        <f t="shared" ca="1" si="18"/>
        <v/>
      </c>
      <c r="AC34" s="28" t="str">
        <f t="shared" ca="1" si="18"/>
        <v/>
      </c>
      <c r="AD34" s="28" t="str">
        <f t="shared" ca="1" si="18"/>
        <v/>
      </c>
      <c r="AE34" s="28" t="str">
        <f t="shared" ca="1" si="18"/>
        <v/>
      </c>
      <c r="AF34" s="28" t="str">
        <f t="shared" ca="1" si="18"/>
        <v/>
      </c>
      <c r="AG34" s="28" t="str">
        <f t="shared" ca="1" si="18"/>
        <v/>
      </c>
      <c r="AH34" s="28" t="str">
        <f t="shared" ca="1" si="18"/>
        <v/>
      </c>
      <c r="AI34" s="28" t="str">
        <f t="shared" ca="1" si="18"/>
        <v/>
      </c>
      <c r="AJ34" s="28" t="str">
        <f t="shared" ca="1" si="18"/>
        <v/>
      </c>
      <c r="AK34" s="28" t="str">
        <f t="shared" ca="1" si="18"/>
        <v/>
      </c>
      <c r="AL34" s="28" t="str">
        <f t="shared" ca="1" si="19"/>
        <v/>
      </c>
      <c r="AM34" s="28" t="str">
        <f t="shared" ca="1" si="19"/>
        <v/>
      </c>
      <c r="AN34" s="28" t="str">
        <f t="shared" ca="1" si="19"/>
        <v/>
      </c>
      <c r="AO34" s="28" t="str">
        <f t="shared" ca="1" si="19"/>
        <v/>
      </c>
      <c r="AP34" s="28" t="str">
        <f t="shared" ca="1" si="19"/>
        <v/>
      </c>
      <c r="AQ34" s="28" t="str">
        <f t="shared" ca="1" si="19"/>
        <v/>
      </c>
      <c r="AR34" s="28" t="str">
        <f t="shared" ca="1" si="19"/>
        <v/>
      </c>
      <c r="AS34" s="28" t="str">
        <f t="shared" ca="1" si="19"/>
        <v/>
      </c>
      <c r="AT34" s="28" t="str">
        <f t="shared" ca="1" si="19"/>
        <v/>
      </c>
      <c r="AU34" s="28" t="str">
        <f t="shared" ca="1" si="19"/>
        <v/>
      </c>
      <c r="AV34" s="28" t="str">
        <f t="shared" ca="1" si="20"/>
        <v/>
      </c>
      <c r="AW34" s="28" t="str">
        <f t="shared" ca="1" si="20"/>
        <v/>
      </c>
      <c r="AX34" s="28" t="str">
        <f t="shared" ca="1" si="20"/>
        <v/>
      </c>
      <c r="AY34" s="28" t="str">
        <f t="shared" ca="1" si="20"/>
        <v/>
      </c>
      <c r="AZ34" s="28" t="str">
        <f t="shared" ca="1" si="20"/>
        <v/>
      </c>
      <c r="BA34" s="28" t="str">
        <f t="shared" ca="1" si="20"/>
        <v/>
      </c>
      <c r="BB34" s="28" t="str">
        <f t="shared" ca="1" si="20"/>
        <v/>
      </c>
      <c r="BC34" s="28" t="str">
        <f t="shared" ca="1" si="20"/>
        <v/>
      </c>
      <c r="BD34" s="28" t="str">
        <f t="shared" ca="1" si="20"/>
        <v/>
      </c>
      <c r="BE34" s="28" t="str">
        <f t="shared" ca="1" si="20"/>
        <v/>
      </c>
      <c r="BF34" s="28" t="str">
        <f t="shared" ca="1" si="21"/>
        <v/>
      </c>
      <c r="BG34" s="28" t="str">
        <f t="shared" ca="1" si="21"/>
        <v/>
      </c>
      <c r="BH34" s="28" t="str">
        <f t="shared" ca="1" si="21"/>
        <v/>
      </c>
      <c r="BI34" s="28" t="str">
        <f t="shared" ca="1" si="21"/>
        <v/>
      </c>
      <c r="BJ34" s="28" t="str">
        <f t="shared" ca="1" si="21"/>
        <v/>
      </c>
      <c r="BK34" s="28" t="str">
        <f t="shared" ca="1" si="21"/>
        <v/>
      </c>
    </row>
    <row r="35" spans="1:64" s="1" customFormat="1" ht="30" customHeight="1" x14ac:dyDescent="0.3">
      <c r="A35" s="11" t="s">
        <v>8</v>
      </c>
      <c r="B35" s="40" t="s">
        <v>66</v>
      </c>
      <c r="C35" s="26"/>
      <c r="D35" s="26"/>
      <c r="E35" s="42"/>
      <c r="F35" s="42"/>
      <c r="G35" s="42"/>
      <c r="H35" s="28" t="str">
        <f t="shared" ca="1" si="16"/>
        <v/>
      </c>
      <c r="I35" s="28" t="str">
        <f ca="1">IF(AND($C35="Objetivo",I$5&gt;=$F35,I$5&lt;=$F35+$G35-1),2,IF(AND($C35="Hito",I$5&gt;=$F35,I$5&lt;=$F35+$G35-1),1,""))</f>
        <v/>
      </c>
      <c r="J35" s="28" t="str">
        <f t="shared" ref="I35:X50" ca="1" si="26">IF(AND($C35="Objetivo",J$5&gt;=$F35,J$5&lt;=$F35+$G35-1),2,IF(AND($C35="Hito",J$5&gt;=$F35,J$5&lt;=$F35+$G35-1),1,""))</f>
        <v/>
      </c>
      <c r="K35" s="28" t="str">
        <f t="shared" ca="1" si="26"/>
        <v/>
      </c>
      <c r="L35" s="28" t="str">
        <f t="shared" ca="1" si="26"/>
        <v/>
      </c>
      <c r="M35" s="28" t="str">
        <f t="shared" ca="1" si="26"/>
        <v/>
      </c>
      <c r="N35" s="28" t="str">
        <f t="shared" ca="1" si="26"/>
        <v/>
      </c>
      <c r="O35" s="28" t="str">
        <f t="shared" ca="1" si="26"/>
        <v/>
      </c>
      <c r="P35" s="28" t="str">
        <f t="shared" ca="1" si="26"/>
        <v/>
      </c>
      <c r="Q35" s="28" t="str">
        <f t="shared" ca="1" si="26"/>
        <v/>
      </c>
      <c r="R35" s="28" t="str">
        <f t="shared" ca="1" si="26"/>
        <v/>
      </c>
      <c r="S35" s="28" t="str">
        <f t="shared" ca="1" si="26"/>
        <v/>
      </c>
      <c r="T35" s="28" t="str">
        <f t="shared" ca="1" si="26"/>
        <v/>
      </c>
      <c r="U35" s="28" t="str">
        <f t="shared" ca="1" si="26"/>
        <v/>
      </c>
      <c r="V35" s="28" t="str">
        <f t="shared" ca="1" si="26"/>
        <v/>
      </c>
      <c r="W35" s="28" t="str">
        <f t="shared" ca="1" si="26"/>
        <v/>
      </c>
      <c r="X35" s="28" t="str">
        <f t="shared" ca="1" si="26"/>
        <v/>
      </c>
      <c r="Y35" s="28" t="str">
        <f t="shared" ref="Y35:AN50" ca="1" si="27">IF(AND($C35="Objetivo",Y$5&gt;=$F35,Y$5&lt;=$F35+$G35-1),2,IF(AND($C35="Hito",Y$5&gt;=$F35,Y$5&lt;=$F35+$G35-1),1,""))</f>
        <v/>
      </c>
      <c r="Z35" s="28" t="str">
        <f t="shared" ca="1" si="27"/>
        <v/>
      </c>
      <c r="AA35" s="28" t="str">
        <f t="shared" ca="1" si="27"/>
        <v/>
      </c>
      <c r="AB35" s="28" t="str">
        <f t="shared" ca="1" si="27"/>
        <v/>
      </c>
      <c r="AC35" s="28" t="str">
        <f t="shared" ca="1" si="27"/>
        <v/>
      </c>
      <c r="AD35" s="28" t="str">
        <f t="shared" ca="1" si="27"/>
        <v/>
      </c>
      <c r="AE35" s="28" t="str">
        <f t="shared" ca="1" si="27"/>
        <v/>
      </c>
      <c r="AF35" s="28" t="str">
        <f t="shared" ca="1" si="27"/>
        <v/>
      </c>
      <c r="AG35" s="28" t="str">
        <f t="shared" ca="1" si="27"/>
        <v/>
      </c>
      <c r="AH35" s="28" t="str">
        <f t="shared" ca="1" si="27"/>
        <v/>
      </c>
      <c r="AI35" s="28" t="str">
        <f t="shared" ca="1" si="27"/>
        <v/>
      </c>
      <c r="AJ35" s="28" t="str">
        <f t="shared" ca="1" si="27"/>
        <v/>
      </c>
      <c r="AK35" s="28" t="str">
        <f t="shared" ca="1" si="27"/>
        <v/>
      </c>
      <c r="AL35" s="28" t="str">
        <f t="shared" ca="1" si="27"/>
        <v/>
      </c>
      <c r="AM35" s="28" t="str">
        <f t="shared" ca="1" si="27"/>
        <v/>
      </c>
      <c r="AN35" s="28" t="str">
        <f t="shared" ca="1" si="27"/>
        <v/>
      </c>
      <c r="AO35" s="28" t="str">
        <f t="shared" ref="AO35:BD50" ca="1" si="28">IF(AND($C35="Objetivo",AO$5&gt;=$F35,AO$5&lt;=$F35+$G35-1),2,IF(AND($C35="Hito",AO$5&gt;=$F35,AO$5&lt;=$F35+$G35-1),1,""))</f>
        <v/>
      </c>
      <c r="AP35" s="28" t="str">
        <f t="shared" ca="1" si="28"/>
        <v/>
      </c>
      <c r="AQ35" s="28" t="str">
        <f t="shared" ca="1" si="28"/>
        <v/>
      </c>
      <c r="AR35" s="28" t="str">
        <f t="shared" ca="1" si="28"/>
        <v/>
      </c>
      <c r="AS35" s="28" t="str">
        <f t="shared" ca="1" si="28"/>
        <v/>
      </c>
      <c r="AT35" s="28" t="str">
        <f t="shared" ca="1" si="28"/>
        <v/>
      </c>
      <c r="AU35" s="28" t="str">
        <f t="shared" ca="1" si="28"/>
        <v/>
      </c>
      <c r="AV35" s="28" t="str">
        <f t="shared" ca="1" si="28"/>
        <v/>
      </c>
      <c r="AW35" s="28" t="str">
        <f t="shared" ca="1" si="28"/>
        <v/>
      </c>
      <c r="AX35" s="28" t="str">
        <f t="shared" ca="1" si="28"/>
        <v/>
      </c>
      <c r="AY35" s="28" t="str">
        <f t="shared" ca="1" si="28"/>
        <v/>
      </c>
      <c r="AZ35" s="28" t="str">
        <f t="shared" ca="1" si="28"/>
        <v/>
      </c>
      <c r="BA35" s="28" t="str">
        <f t="shared" ca="1" si="28"/>
        <v/>
      </c>
      <c r="BB35" s="28" t="str">
        <f t="shared" ca="1" si="28"/>
        <v/>
      </c>
      <c r="BC35" s="28" t="str">
        <f t="shared" ca="1" si="28"/>
        <v/>
      </c>
      <c r="BD35" s="28" t="str">
        <f t="shared" ca="1" si="28"/>
        <v/>
      </c>
      <c r="BE35" s="28" t="str">
        <f t="shared" ref="BE35:BL50" ca="1" si="29">IF(AND($C35="Objetivo",BE$5&gt;=$F35,BE$5&lt;=$F35+$G35-1),2,IF(AND($C35="Hito",BE$5&gt;=$F35,BE$5&lt;=$F35+$G35-1),1,""))</f>
        <v/>
      </c>
      <c r="BF35" s="28" t="str">
        <f t="shared" ca="1" si="29"/>
        <v/>
      </c>
      <c r="BG35" s="28" t="str">
        <f t="shared" ca="1" si="29"/>
        <v/>
      </c>
      <c r="BH35" s="28" t="str">
        <f t="shared" ca="1" si="29"/>
        <v/>
      </c>
      <c r="BI35" s="28" t="str">
        <f t="shared" ca="1" si="29"/>
        <v/>
      </c>
      <c r="BJ35" s="28" t="str">
        <f t="shared" ca="1" si="29"/>
        <v/>
      </c>
      <c r="BK35" s="28" t="str">
        <f t="shared" ca="1" si="29"/>
        <v/>
      </c>
      <c r="BL35" s="28" t="str">
        <f t="shared" si="29"/>
        <v/>
      </c>
    </row>
    <row r="36" spans="1:64" s="1" customFormat="1" ht="30" customHeight="1" x14ac:dyDescent="0.3">
      <c r="A36" s="11"/>
      <c r="B36" s="53" t="s">
        <v>67</v>
      </c>
      <c r="C36" s="26" t="s">
        <v>24</v>
      </c>
      <c r="D36" s="23">
        <v>0.33</v>
      </c>
      <c r="E36" s="24">
        <v>45858</v>
      </c>
      <c r="F36" s="25">
        <v>3</v>
      </c>
      <c r="H36" s="28"/>
      <c r="I36" s="28" t="str">
        <f ca="1">IF(AND($C36="Objetivo",I$5&gt;=$E36,I$5&lt;=$E36+$F36-1),2,IF(AND($C36="Hito",I$5&gt;=$E36,I$5&lt;=$E36+$F36-1),1,""))</f>
        <v/>
      </c>
      <c r="J36" s="28" t="str">
        <f ca="1">IF(AND($C36="Objetivo",J$5&gt;=$E36,J$5&lt;=$E36+$F36-1),2,IF(AND($C36="Hito",J$5&gt;=$E36,J$5&lt;=$E36+$F36-1),1,""))</f>
        <v/>
      </c>
      <c r="K36" s="28" t="str">
        <f ca="1">IF(AND($C36="Objetivo",K$5&gt;=$E36,K$5&lt;=$E36+$F36-1),2,IF(AND($C36="Hito",K$5&gt;=$E36,K$5&lt;=$E36+$F36-1),1,""))</f>
        <v/>
      </c>
      <c r="L36" s="28" t="str">
        <f ca="1">IF(AND($C36="Objetivo",L$5&gt;=$E36,L$5&lt;=$E36+$F36-1),2,IF(AND($C36="Hito",L$5&gt;=$E36,L$5&lt;=$E36+$F36-1),1,""))</f>
        <v/>
      </c>
      <c r="M36" s="28" t="str">
        <f ca="1">IF(AND($C36="Objetivo",M$5&gt;=$E36,M$5&lt;=$E36+$F36-1),2,IF(AND($C36="Hito",M$5&gt;=$E36,M$5&lt;=$E36+$F36-1),1,""))</f>
        <v/>
      </c>
      <c r="N36" s="28" t="str">
        <f ca="1">IF(AND($C36="Objetivo",N$5&gt;=$E36,N$5&lt;=$E36+$F36-1),2,IF(AND($C36="Hito",N$5&gt;=$E36,N$5&lt;=$E36+$F36-1),1,""))</f>
        <v/>
      </c>
      <c r="O36" s="28" t="str">
        <f ca="1">IF(AND($C36="Objetivo",O$5&gt;=$E36,O$5&lt;=$E36+$F36-1),2,IF(AND($C36="Hito",O$5&gt;=$E36,O$5&lt;=$E36+$F36-1),1,""))</f>
        <v/>
      </c>
      <c r="P36" s="28" t="str">
        <f ca="1">IF(AND($C36="Objetivo",P$5&gt;=$E36,P$5&lt;=$E36+$F36-1),2,IF(AND($C36="Hito",P$5&gt;=$E36,P$5&lt;=$E36+$F36-1),1,""))</f>
        <v/>
      </c>
      <c r="Q36" s="28" t="str">
        <f ca="1">IF(AND($C36="Objetivo",Q$5&gt;=$E36,Q$5&lt;=$E36+$F36-1),2,IF(AND($C36="Hito",Q$5&gt;=$E36,Q$5&lt;=$E36+$F36-1),1,""))</f>
        <v/>
      </c>
      <c r="R36" s="28" t="str">
        <f ca="1">IF(AND($C36="Objetivo",R$5&gt;=$E36,R$5&lt;=$E36+$F36-1),2,IF(AND($C36="Hito",R$5&gt;=$E36,R$5&lt;=$E36+$F36-1),1,""))</f>
        <v/>
      </c>
      <c r="S36" s="28" t="str">
        <f ca="1">IF(AND($C36="Objetivo",S$5&gt;=$E36,S$5&lt;=$E36+$F36-1),2,IF(AND($C36="Hito",S$5&gt;=$E36,S$5&lt;=$E36+$F36-1),1,""))</f>
        <v/>
      </c>
      <c r="T36" s="28" t="str">
        <f ca="1">IF(AND($C36="Objetivo",T$5&gt;=$E36,T$5&lt;=$E36+$F36-1),2,IF(AND($C36="Hito",T$5&gt;=$E36,T$5&lt;=$E36+$F36-1),1,""))</f>
        <v/>
      </c>
      <c r="U36" s="28" t="str">
        <f ca="1">IF(AND($C36="Objetivo",U$5&gt;=$E36,U$5&lt;=$E36+$F36-1),2,IF(AND($C36="Hito",U$5&gt;=$E36,U$5&lt;=$E36+$F36-1),1,""))</f>
        <v/>
      </c>
      <c r="V36" s="28" t="str">
        <f ca="1">IF(AND($C36="Objetivo",V$5&gt;=$E36,V$5&lt;=$E36+$F36-1),2,IF(AND($C36="Hito",V$5&gt;=$E36,V$5&lt;=$E36+$F36-1),1,""))</f>
        <v/>
      </c>
      <c r="W36" s="28" t="str">
        <f ca="1">IF(AND($C36="Objetivo",W$5&gt;=$E36,W$5&lt;=$E36+$F36-1),2,IF(AND($C36="Hito",W$5&gt;=$E36,W$5&lt;=$E36+$F36-1),1,""))</f>
        <v/>
      </c>
      <c r="X36" s="28" t="str">
        <f ca="1">IF(AND($C36="Objetivo",X$5&gt;=$E36,X$5&lt;=$E36+$F36-1),2,IF(AND($C36="Hito",X$5&gt;=$E36,X$5&lt;=$E36+$F36-1),1,""))</f>
        <v/>
      </c>
      <c r="Y36" s="28" t="str">
        <f ca="1">IF(AND($C36="Objetivo",Y$5&gt;=$E36,Y$5&lt;=$E36+$F36-1),2,IF(AND($C36="Hito",Y$5&gt;=$E36,Y$5&lt;=$E36+$F36-1),1,""))</f>
        <v/>
      </c>
      <c r="Z36" s="28" t="str">
        <f ca="1">IF(AND($C36="Objetivo",Z$5&gt;=$E36,Z$5&lt;=$E36+$F36-1),2,IF(AND($C36="Hito",Z$5&gt;=$E36,Z$5&lt;=$E36+$F36-1),1,""))</f>
        <v/>
      </c>
      <c r="AA36" s="28" t="str">
        <f ca="1">IF(AND($C36="Objetivo",AA$5&gt;=$E36,AA$5&lt;=$E36+$F36-1),2,IF(AND($C36="Hito",AA$5&gt;=$E36,AA$5&lt;=$E36+$F36-1),1,""))</f>
        <v/>
      </c>
      <c r="AB36" s="28" t="str">
        <f ca="1">IF(AND($C36="Objetivo",AB$5&gt;=$E36,AB$5&lt;=$E36+$F36-1),2,IF(AND($C36="Hito",AB$5&gt;=$E36,AB$5&lt;=$E36+$F36-1),1,""))</f>
        <v/>
      </c>
      <c r="AC36" s="28" t="str">
        <f ca="1">IF(AND($C36="Objetivo",AC$5&gt;=$E36,AC$5&lt;=$E36+$F36-1),2,IF(AND($C36="Hito",AC$5&gt;=$E36,AC$5&lt;=$E36+$F36-1),1,""))</f>
        <v/>
      </c>
      <c r="AD36" s="28" t="str">
        <f ca="1">IF(AND($C36="Objetivo",AD$5&gt;=$E36,AD$5&lt;=$E36+$F36-1),2,IF(AND($C36="Hito",AD$5&gt;=$E36,AD$5&lt;=$E36+$F36-1),1,""))</f>
        <v/>
      </c>
      <c r="AE36" s="28" t="str">
        <f ca="1">IF(AND($C36="Objetivo",AE$5&gt;=$E36,AE$5&lt;=$E36+$F36-1),2,IF(AND($C36="Hito",AE$5&gt;=$E36,AE$5&lt;=$E36+$F36-1),1,""))</f>
        <v/>
      </c>
      <c r="AF36" s="28" t="str">
        <f ca="1">IF(AND($C36="Objetivo",AF$5&gt;=$E36,AF$5&lt;=$E36+$F36-1),2,IF(AND($C36="Hito",AF$5&gt;=$E36,AF$5&lt;=$E36+$F36-1),1,""))</f>
        <v/>
      </c>
      <c r="AG36" s="28" t="str">
        <f ca="1">IF(AND($C36="Objetivo",AG$5&gt;=$E36,AG$5&lt;=$E36+$F36-1),2,IF(AND($C36="Hito",AG$5&gt;=$E36,AG$5&lt;=$E36+$F36-1),1,""))</f>
        <v/>
      </c>
      <c r="AH36" s="28" t="str">
        <f ca="1">IF(AND($C36="Objetivo",AH$5&gt;=$E36,AH$5&lt;=$E36+$F36-1),2,IF(AND($C36="Hito",AH$5&gt;=$E36,AH$5&lt;=$E36+$F36-1),1,""))</f>
        <v/>
      </c>
      <c r="AI36" s="28" t="str">
        <f ca="1">IF(AND($C36="Objetivo",AI$5&gt;=$E36,AI$5&lt;=$E36+$F36-1),2,IF(AND($C36="Hito",AI$5&gt;=$E36,AI$5&lt;=$E36+$F36-1),1,""))</f>
        <v/>
      </c>
      <c r="AJ36" s="28" t="str">
        <f ca="1">IF(AND($C36="Objetivo",AJ$5&gt;=$E36,AJ$5&lt;=$E36+$F36-1),2,IF(AND($C36="Hito",AJ$5&gt;=$E36,AJ$5&lt;=$E36+$F36-1),1,""))</f>
        <v/>
      </c>
      <c r="AK36" s="28" t="str">
        <f ca="1">IF(AND($C36="Objetivo",AK$5&gt;=$E36,AK$5&lt;=$E36+$F36-1),2,IF(AND($C36="Hito",AK$5&gt;=$E36,AK$5&lt;=$E36+$F36-1),1,""))</f>
        <v/>
      </c>
      <c r="AL36" s="28" t="str">
        <f ca="1">IF(AND($C36="Objetivo",AL$5&gt;=$E36,AL$5&lt;=$E36+$F36-1),2,IF(AND($C36="Hito",AL$5&gt;=$E36,AL$5&lt;=$E36+$F36-1),1,""))</f>
        <v/>
      </c>
      <c r="AM36" s="28" t="str">
        <f ca="1">IF(AND($C36="Objetivo",AM$5&gt;=$E36,AM$5&lt;=$E36+$F36-1),2,IF(AND($C36="Hito",AM$5&gt;=$E36,AM$5&lt;=$E36+$F36-1),1,""))</f>
        <v/>
      </c>
      <c r="AN36" s="28" t="str">
        <f ca="1">IF(AND($C36="Objetivo",AN$5&gt;=$E36,AN$5&lt;=$E36+$F36-1),2,IF(AND($C36="Hito",AN$5&gt;=$E36,AN$5&lt;=$E36+$F36-1),1,""))</f>
        <v/>
      </c>
      <c r="AO36" s="28" t="str">
        <f ca="1">IF(AND($C36="Objetivo",AO$5&gt;=$E36,AO$5&lt;=$E36+$F36-1),2,IF(AND($C36="Hito",AO$5&gt;=$E36,AO$5&lt;=$E36+$F36-1),1,""))</f>
        <v/>
      </c>
      <c r="AP36" s="28" t="str">
        <f ca="1">IF(AND($C36="Objetivo",AP$5&gt;=$E36,AP$5&lt;=$E36+$F36-1),2,IF(AND($C36="Hito",AP$5&gt;=$E36,AP$5&lt;=$E36+$F36-1),1,""))</f>
        <v/>
      </c>
      <c r="AQ36" s="28" t="str">
        <f ca="1">IF(AND($C36="Objetivo",AQ$5&gt;=$E36,AQ$5&lt;=$E36+$F36-1),2,IF(AND($C36="Hito",AQ$5&gt;=$E36,AQ$5&lt;=$E36+$F36-1),1,""))</f>
        <v/>
      </c>
      <c r="AR36" s="28" t="str">
        <f ca="1">IF(AND($C36="Objetivo",AR$5&gt;=$E36,AR$5&lt;=$E36+$F36-1),2,IF(AND($C36="Hito",AR$5&gt;=$E36,AR$5&lt;=$E36+$F36-1),1,""))</f>
        <v/>
      </c>
      <c r="AS36" s="28" t="str">
        <f ca="1">IF(AND($C36="Objetivo",AS$5&gt;=$E36,AS$5&lt;=$E36+$F36-1),2,IF(AND($C36="Hito",AS$5&gt;=$E36,AS$5&lt;=$E36+$F36-1),1,""))</f>
        <v/>
      </c>
      <c r="AT36" s="28" t="str">
        <f ca="1">IF(AND($C36="Objetivo",AT$5&gt;=$E36,AT$5&lt;=$E36+$F36-1),2,IF(AND($C36="Hito",AT$5&gt;=$E36,AT$5&lt;=$E36+$F36-1),1,""))</f>
        <v/>
      </c>
      <c r="AU36" s="28" t="str">
        <f ca="1">IF(AND($C36="Objetivo",AU$5&gt;=$E36,AU$5&lt;=$E36+$F36-1),2,IF(AND($C36="Hito",AU$5&gt;=$E36,AU$5&lt;=$E36+$F36-1),1,""))</f>
        <v/>
      </c>
      <c r="AV36" s="28" t="str">
        <f ca="1">IF(AND($C36="Objetivo",AV$5&gt;=$E36,AV$5&lt;=$E36+$F36-1),2,IF(AND($C36="Hito",AV$5&gt;=$E36,AV$5&lt;=$E36+$F36-1),1,""))</f>
        <v/>
      </c>
      <c r="AW36" s="28" t="str">
        <f ca="1">IF(AND($C36="Objetivo",AW$5&gt;=$E36,AW$5&lt;=$E36+$F36-1),2,IF(AND($C36="Hito",AW$5&gt;=$E36,AW$5&lt;=$E36+$F36-1),1,""))</f>
        <v/>
      </c>
      <c r="AX36" s="28" t="str">
        <f ca="1">IF(AND($C36="Objetivo",AX$5&gt;=$E36,AX$5&lt;=$E36+$F36-1),2,IF(AND($C36="Hito",AX$5&gt;=$E36,AX$5&lt;=$E36+$F36-1),1,""))</f>
        <v/>
      </c>
      <c r="AY36" s="28" t="str">
        <f ca="1">IF(AND($C36="Objetivo",AY$5&gt;=$E36,AY$5&lt;=$E36+$F36-1),2,IF(AND($C36="Hito",AY$5&gt;=$E36,AY$5&lt;=$E36+$F36-1),1,""))</f>
        <v/>
      </c>
      <c r="AZ36" s="28" t="str">
        <f ca="1">IF(AND($C36="Objetivo",AZ$5&gt;=$E36,AZ$5&lt;=$E36+$F36-1),2,IF(AND($C36="Hito",AZ$5&gt;=$E36,AZ$5&lt;=$E36+$F36-1),1,""))</f>
        <v/>
      </c>
      <c r="BA36" s="28" t="str">
        <f ca="1">IF(AND($C36="Objetivo",BA$5&gt;=$E36,BA$5&lt;=$E36+$F36-1),2,IF(AND($C36="Hito",BA$5&gt;=$E36,BA$5&lt;=$E36+$F36-1),1,""))</f>
        <v/>
      </c>
      <c r="BB36" s="28" t="str">
        <f ca="1">IF(AND($C36="Objetivo",BB$5&gt;=$E36,BB$5&lt;=$E36+$F36-1),2,IF(AND($C36="Hito",BB$5&gt;=$E36,BB$5&lt;=$E36+$F36-1),1,""))</f>
        <v/>
      </c>
      <c r="BC36" s="28" t="str">
        <f ca="1">IF(AND($C36="Objetivo",BC$5&gt;=$E36,BC$5&lt;=$E36+$F36-1),2,IF(AND($C36="Hito",BC$5&gt;=$E36,BC$5&lt;=$E36+$F36-1),1,""))</f>
        <v/>
      </c>
      <c r="BD36" s="28" t="str">
        <f ca="1">IF(AND($C36="Objetivo",BD$5&gt;=$E36,BD$5&lt;=$E36+$F36-1),2,IF(AND($C36="Hito",BD$5&gt;=$E36,BD$5&lt;=$E36+$F36-1),1,""))</f>
        <v/>
      </c>
      <c r="BE36" s="28" t="str">
        <f ca="1">IF(AND($C36="Objetivo",BE$5&gt;=$E36,BE$5&lt;=$E36+$F36-1),2,IF(AND($C36="Hito",BE$5&gt;=$E36,BE$5&lt;=$E36+$F36-1),1,""))</f>
        <v/>
      </c>
      <c r="BF36" s="28" t="str">
        <f ca="1">IF(AND($C36="Objetivo",BF$5&gt;=$E36,BF$5&lt;=$E36+$F36-1),2,IF(AND($C36="Hito",BF$5&gt;=$E36,BF$5&lt;=$E36+$F36-1),1,""))</f>
        <v/>
      </c>
      <c r="BG36" s="28" t="str">
        <f ca="1">IF(AND($C36="Objetivo",BG$5&gt;=$E36,BG$5&lt;=$E36+$F36-1),2,IF(AND($C36="Hito",BG$5&gt;=$E36,BG$5&lt;=$E36+$F36-1),1,""))</f>
        <v/>
      </c>
      <c r="BH36" s="28" t="str">
        <f ca="1">IF(AND($C36="Objetivo",BH$5&gt;=$E36,BH$5&lt;=$E36+$F36-1),2,IF(AND($C36="Hito",BH$5&gt;=$E36,BH$5&lt;=$E36+$F36-1),1,""))</f>
        <v/>
      </c>
      <c r="BI36" s="28" t="str">
        <f ca="1">IF(AND($C36="Objetivo",BI$5&gt;=$E36,BI$5&lt;=$E36+$F36-1),2,IF(AND($C36="Hito",BI$5&gt;=$E36,BI$5&lt;=$E36+$F36-1),1,""))</f>
        <v/>
      </c>
      <c r="BJ36" s="28" t="str">
        <f ca="1">IF(AND($C36="Objetivo",BJ$5&gt;=$E36,BJ$5&lt;=$E36+$F36-1),2,IF(AND($C36="Hito",BJ$5&gt;=$E36,BJ$5&lt;=$E36+$F36-1),1,""))</f>
        <v/>
      </c>
      <c r="BK36" s="28" t="str">
        <f ca="1">IF(AND($C36="Objetivo",BK$5&gt;=$E36,BK$5&lt;=$E36+$F36-1),2,IF(AND($C36="Hito",BK$5&gt;=$E36,BK$5&lt;=$E36+$F36-1),1,""))</f>
        <v/>
      </c>
      <c r="BL36" s="28" t="str">
        <f>IF(AND($C36="Objetivo",BL$5&gt;=$E36,BL$5&lt;=$E36+$F36-1),2,IF(AND($C36="Hito",BL$5&gt;=$E36,BL$5&lt;=$E36+$F36-1),1,""))</f>
        <v/>
      </c>
    </row>
    <row r="37" spans="1:64" s="1" customFormat="1" ht="30" customHeight="1" x14ac:dyDescent="0.3">
      <c r="A37" s="11"/>
      <c r="B37" s="53" t="s">
        <v>68</v>
      </c>
      <c r="C37" s="26" t="s">
        <v>24</v>
      </c>
      <c r="D37" s="23">
        <v>0.33</v>
      </c>
      <c r="E37" s="24">
        <f ca="1">TODAY()+5</f>
        <v>45962</v>
      </c>
      <c r="F37" s="25">
        <v>1</v>
      </c>
      <c r="H37" s="28"/>
      <c r="I37" s="28" t="str">
        <f ca="1">IF(AND($C37="Objetivo",I$5&gt;=$E37,I$5&lt;=$E37+$F37-1),2,IF(AND($C37="Hito",I$5&gt;=$E37,I$5&lt;=$E37+$F37-1),1,""))</f>
        <v/>
      </c>
      <c r="J37" s="28" t="str">
        <f ca="1">IF(AND($C37="Objetivo",J$5&gt;=$E37,J$5&lt;=$E37+$F37-1),2,IF(AND($C37="Hito",J$5&gt;=$E37,J$5&lt;=$E37+$F37-1),1,""))</f>
        <v/>
      </c>
      <c r="K37" s="28" t="str">
        <f ca="1">IF(AND($C37="Objetivo",K$5&gt;=$E37,K$5&lt;=$E37+$F37-1),2,IF(AND($C37="Hito",K$5&gt;=$E37,K$5&lt;=$E37+$F37-1),1,""))</f>
        <v/>
      </c>
      <c r="L37" s="28" t="str">
        <f ca="1">IF(AND($C37="Objetivo",L$5&gt;=$E37,L$5&lt;=$E37+$F37-1),2,IF(AND($C37="Hito",L$5&gt;=$E37,L$5&lt;=$E37+$F37-1),1,""))</f>
        <v/>
      </c>
      <c r="M37" s="28" t="str">
        <f ca="1">IF(AND($C37="Objetivo",M$5&gt;=$E37,M$5&lt;=$E37+$F37-1),2,IF(AND($C37="Hito",M$5&gt;=$E37,M$5&lt;=$E37+$F37-1),1,""))</f>
        <v/>
      </c>
      <c r="N37" s="28" t="str">
        <f ca="1">IF(AND($C37="Objetivo",N$5&gt;=$E37,N$5&lt;=$E37+$F37-1),2,IF(AND($C37="Hito",N$5&gt;=$E37,N$5&lt;=$E37+$F37-1),1,""))</f>
        <v/>
      </c>
      <c r="O37" s="28" t="str">
        <f ca="1">IF(AND($C37="Objetivo",O$5&gt;=$E37,O$5&lt;=$E37+$F37-1),2,IF(AND($C37="Hito",O$5&gt;=$E37,O$5&lt;=$E37+$F37-1),1,""))</f>
        <v/>
      </c>
      <c r="P37" s="28" t="str">
        <f ca="1">IF(AND($C37="Objetivo",P$5&gt;=$E37,P$5&lt;=$E37+$F37-1),2,IF(AND($C37="Hito",P$5&gt;=$E37,P$5&lt;=$E37+$F37-1),1,""))</f>
        <v/>
      </c>
      <c r="Q37" s="28" t="str">
        <f ca="1">IF(AND($C37="Objetivo",Q$5&gt;=$E37,Q$5&lt;=$E37+$F37-1),2,IF(AND($C37="Hito",Q$5&gt;=$E37,Q$5&lt;=$E37+$F37-1),1,""))</f>
        <v/>
      </c>
      <c r="R37" s="28" t="str">
        <f ca="1">IF(AND($C37="Objetivo",R$5&gt;=$E37,R$5&lt;=$E37+$F37-1),2,IF(AND($C37="Hito",R$5&gt;=$E37,R$5&lt;=$E37+$F37-1),1,""))</f>
        <v/>
      </c>
      <c r="S37" s="28" t="str">
        <f ca="1">IF(AND($C37="Objetivo",S$5&gt;=$E37,S$5&lt;=$E37+$F37-1),2,IF(AND($C37="Hito",S$5&gt;=$E37,S$5&lt;=$E37+$F37-1),1,""))</f>
        <v/>
      </c>
      <c r="T37" s="28" t="str">
        <f ca="1">IF(AND($C37="Objetivo",T$5&gt;=$E37,T$5&lt;=$E37+$F37-1),2,IF(AND($C37="Hito",T$5&gt;=$E37,T$5&lt;=$E37+$F37-1),1,""))</f>
        <v/>
      </c>
      <c r="U37" s="28" t="str">
        <f ca="1">IF(AND($C37="Objetivo",U$5&gt;=$E37,U$5&lt;=$E37+$F37-1),2,IF(AND($C37="Hito",U$5&gt;=$E37,U$5&lt;=$E37+$F37-1),1,""))</f>
        <v/>
      </c>
      <c r="V37" s="28" t="str">
        <f ca="1">IF(AND($C37="Objetivo",V$5&gt;=$E37,V$5&lt;=$E37+$F37-1),2,IF(AND($C37="Hito",V$5&gt;=$E37,V$5&lt;=$E37+$F37-1),1,""))</f>
        <v/>
      </c>
      <c r="W37" s="28" t="str">
        <f ca="1">IF(AND($C37="Objetivo",W$5&gt;=$E37,W$5&lt;=$E37+$F37-1),2,IF(AND($C37="Hito",W$5&gt;=$E37,W$5&lt;=$E37+$F37-1),1,""))</f>
        <v/>
      </c>
      <c r="X37" s="28" t="str">
        <f ca="1">IF(AND($C37="Objetivo",X$5&gt;=$E37,X$5&lt;=$E37+$F37-1),2,IF(AND($C37="Hito",X$5&gt;=$E37,X$5&lt;=$E37+$F37-1),1,""))</f>
        <v/>
      </c>
      <c r="Y37" s="28" t="str">
        <f ca="1">IF(AND($C37="Objetivo",Y$5&gt;=$E37,Y$5&lt;=$E37+$F37-1),2,IF(AND($C37="Hito",Y$5&gt;=$E37,Y$5&lt;=$E37+$F37-1),1,""))</f>
        <v/>
      </c>
      <c r="Z37" s="28" t="str">
        <f ca="1">IF(AND($C37="Objetivo",Z$5&gt;=$E37,Z$5&lt;=$E37+$F37-1),2,IF(AND($C37="Hito",Z$5&gt;=$E37,Z$5&lt;=$E37+$F37-1),1,""))</f>
        <v/>
      </c>
      <c r="AA37" s="28" t="str">
        <f ca="1">IF(AND($C37="Objetivo",AA$5&gt;=$E37,AA$5&lt;=$E37+$F37-1),2,IF(AND($C37="Hito",AA$5&gt;=$E37,AA$5&lt;=$E37+$F37-1),1,""))</f>
        <v/>
      </c>
      <c r="AB37" s="28" t="str">
        <f ca="1">IF(AND($C37="Objetivo",AB$5&gt;=$E37,AB$5&lt;=$E37+$F37-1),2,IF(AND($C37="Hito",AB$5&gt;=$E37,AB$5&lt;=$E37+$F37-1),1,""))</f>
        <v/>
      </c>
      <c r="AC37" s="28" t="str">
        <f ca="1">IF(AND($C37="Objetivo",AC$5&gt;=$E37,AC$5&lt;=$E37+$F37-1),2,IF(AND($C37="Hito",AC$5&gt;=$E37,AC$5&lt;=$E37+$F37-1),1,""))</f>
        <v/>
      </c>
      <c r="AD37" s="28" t="str">
        <f ca="1">IF(AND($C37="Objetivo",AD$5&gt;=$E37,AD$5&lt;=$E37+$F37-1),2,IF(AND($C37="Hito",AD$5&gt;=$E37,AD$5&lt;=$E37+$F37-1),1,""))</f>
        <v/>
      </c>
      <c r="AE37" s="28" t="str">
        <f ca="1">IF(AND($C37="Objetivo",AE$5&gt;=$E37,AE$5&lt;=$E37+$F37-1),2,IF(AND($C37="Hito",AE$5&gt;=$E37,AE$5&lt;=$E37+$F37-1),1,""))</f>
        <v/>
      </c>
      <c r="AF37" s="28" t="str">
        <f ca="1">IF(AND($C37="Objetivo",AF$5&gt;=$E37,AF$5&lt;=$E37+$F37-1),2,IF(AND($C37="Hito",AF$5&gt;=$E37,AF$5&lt;=$E37+$F37-1),1,""))</f>
        <v/>
      </c>
      <c r="AG37" s="28" t="str">
        <f ca="1">IF(AND($C37="Objetivo",AG$5&gt;=$E37,AG$5&lt;=$E37+$F37-1),2,IF(AND($C37="Hito",AG$5&gt;=$E37,AG$5&lt;=$E37+$F37-1),1,""))</f>
        <v/>
      </c>
      <c r="AH37" s="28" t="str">
        <f ca="1">IF(AND($C37="Objetivo",AH$5&gt;=$E37,AH$5&lt;=$E37+$F37-1),2,IF(AND($C37="Hito",AH$5&gt;=$E37,AH$5&lt;=$E37+$F37-1),1,""))</f>
        <v/>
      </c>
      <c r="AI37" s="28" t="str">
        <f ca="1">IF(AND($C37="Objetivo",AI$5&gt;=$E37,AI$5&lt;=$E37+$F37-1),2,IF(AND($C37="Hito",AI$5&gt;=$E37,AI$5&lt;=$E37+$F37-1),1,""))</f>
        <v/>
      </c>
      <c r="AJ37" s="28" t="str">
        <f ca="1">IF(AND($C37="Objetivo",AJ$5&gt;=$E37,AJ$5&lt;=$E37+$F37-1),2,IF(AND($C37="Hito",AJ$5&gt;=$E37,AJ$5&lt;=$E37+$F37-1),1,""))</f>
        <v/>
      </c>
      <c r="AK37" s="28" t="str">
        <f ca="1">IF(AND($C37="Objetivo",AK$5&gt;=$E37,AK$5&lt;=$E37+$F37-1),2,IF(AND($C37="Hito",AK$5&gt;=$E37,AK$5&lt;=$E37+$F37-1),1,""))</f>
        <v/>
      </c>
      <c r="AL37" s="28" t="str">
        <f ca="1">IF(AND($C37="Objetivo",AL$5&gt;=$E37,AL$5&lt;=$E37+$F37-1),2,IF(AND($C37="Hito",AL$5&gt;=$E37,AL$5&lt;=$E37+$F37-1),1,""))</f>
        <v/>
      </c>
      <c r="AM37" s="28" t="str">
        <f ca="1">IF(AND($C37="Objetivo",AM$5&gt;=$E37,AM$5&lt;=$E37+$F37-1),2,IF(AND($C37="Hito",AM$5&gt;=$E37,AM$5&lt;=$E37+$F37-1),1,""))</f>
        <v/>
      </c>
      <c r="AN37" s="28" t="str">
        <f ca="1">IF(AND($C37="Objetivo",AN$5&gt;=$E37,AN$5&lt;=$E37+$F37-1),2,IF(AND($C37="Hito",AN$5&gt;=$E37,AN$5&lt;=$E37+$F37-1),1,""))</f>
        <v/>
      </c>
      <c r="AO37" s="28" t="str">
        <f ca="1">IF(AND($C37="Objetivo",AO$5&gt;=$E37,AO$5&lt;=$E37+$F37-1),2,IF(AND($C37="Hito",AO$5&gt;=$E37,AO$5&lt;=$E37+$F37-1),1,""))</f>
        <v/>
      </c>
      <c r="AP37" s="28" t="str">
        <f ca="1">IF(AND($C37="Objetivo",AP$5&gt;=$E37,AP$5&lt;=$E37+$F37-1),2,IF(AND($C37="Hito",AP$5&gt;=$E37,AP$5&lt;=$E37+$F37-1),1,""))</f>
        <v/>
      </c>
      <c r="AQ37" s="28" t="str">
        <f ca="1">IF(AND($C37="Objetivo",AQ$5&gt;=$E37,AQ$5&lt;=$E37+$F37-1),2,IF(AND($C37="Hito",AQ$5&gt;=$E37,AQ$5&lt;=$E37+$F37-1),1,""))</f>
        <v/>
      </c>
      <c r="AR37" s="28" t="str">
        <f ca="1">IF(AND($C37="Objetivo",AR$5&gt;=$E37,AR$5&lt;=$E37+$F37-1),2,IF(AND($C37="Hito",AR$5&gt;=$E37,AR$5&lt;=$E37+$F37-1),1,""))</f>
        <v/>
      </c>
      <c r="AS37" s="28" t="str">
        <f ca="1">IF(AND($C37="Objetivo",AS$5&gt;=$E37,AS$5&lt;=$E37+$F37-1),2,IF(AND($C37="Hito",AS$5&gt;=$E37,AS$5&lt;=$E37+$F37-1),1,""))</f>
        <v/>
      </c>
      <c r="AT37" s="28" t="str">
        <f ca="1">IF(AND($C37="Objetivo",AT$5&gt;=$E37,AT$5&lt;=$E37+$F37-1),2,IF(AND($C37="Hito",AT$5&gt;=$E37,AT$5&lt;=$E37+$F37-1),1,""))</f>
        <v/>
      </c>
      <c r="AU37" s="28" t="str">
        <f ca="1">IF(AND($C37="Objetivo",AU$5&gt;=$E37,AU$5&lt;=$E37+$F37-1),2,IF(AND($C37="Hito",AU$5&gt;=$E37,AU$5&lt;=$E37+$F37-1),1,""))</f>
        <v/>
      </c>
      <c r="AV37" s="28" t="str">
        <f ca="1">IF(AND($C37="Objetivo",AV$5&gt;=$E37,AV$5&lt;=$E37+$F37-1),2,IF(AND($C37="Hito",AV$5&gt;=$E37,AV$5&lt;=$E37+$F37-1),1,""))</f>
        <v/>
      </c>
      <c r="AW37" s="28" t="str">
        <f ca="1">IF(AND($C37="Objetivo",AW$5&gt;=$E37,AW$5&lt;=$E37+$F37-1),2,IF(AND($C37="Hito",AW$5&gt;=$E37,AW$5&lt;=$E37+$F37-1),1,""))</f>
        <v/>
      </c>
      <c r="AX37" s="28" t="str">
        <f ca="1">IF(AND($C37="Objetivo",AX$5&gt;=$E37,AX$5&lt;=$E37+$F37-1),2,IF(AND($C37="Hito",AX$5&gt;=$E37,AX$5&lt;=$E37+$F37-1),1,""))</f>
        <v/>
      </c>
      <c r="AY37" s="28" t="str">
        <f ca="1">IF(AND($C37="Objetivo",AY$5&gt;=$E37,AY$5&lt;=$E37+$F37-1),2,IF(AND($C37="Hito",AY$5&gt;=$E37,AY$5&lt;=$E37+$F37-1),1,""))</f>
        <v/>
      </c>
      <c r="AZ37" s="28" t="str">
        <f ca="1">IF(AND($C37="Objetivo",AZ$5&gt;=$E37,AZ$5&lt;=$E37+$F37-1),2,IF(AND($C37="Hito",AZ$5&gt;=$E37,AZ$5&lt;=$E37+$F37-1),1,""))</f>
        <v/>
      </c>
      <c r="BA37" s="28" t="str">
        <f ca="1">IF(AND($C37="Objetivo",BA$5&gt;=$E37,BA$5&lt;=$E37+$F37-1),2,IF(AND($C37="Hito",BA$5&gt;=$E37,BA$5&lt;=$E37+$F37-1),1,""))</f>
        <v/>
      </c>
      <c r="BB37" s="28" t="str">
        <f ca="1">IF(AND($C37="Objetivo",BB$5&gt;=$E37,BB$5&lt;=$E37+$F37-1),2,IF(AND($C37="Hito",BB$5&gt;=$E37,BB$5&lt;=$E37+$F37-1),1,""))</f>
        <v/>
      </c>
      <c r="BC37" s="28" t="str">
        <f ca="1">IF(AND($C37="Objetivo",BC$5&gt;=$E37,BC$5&lt;=$E37+$F37-1),2,IF(AND($C37="Hito",BC$5&gt;=$E37,BC$5&lt;=$E37+$F37-1),1,""))</f>
        <v/>
      </c>
      <c r="BD37" s="28" t="str">
        <f ca="1">IF(AND($C37="Objetivo",BD$5&gt;=$E37,BD$5&lt;=$E37+$F37-1),2,IF(AND($C37="Hito",BD$5&gt;=$E37,BD$5&lt;=$E37+$F37-1),1,""))</f>
        <v/>
      </c>
      <c r="BE37" s="28" t="str">
        <f ca="1">IF(AND($C37="Objetivo",BE$5&gt;=$E37,BE$5&lt;=$E37+$F37-1),2,IF(AND($C37="Hito",BE$5&gt;=$E37,BE$5&lt;=$E37+$F37-1),1,""))</f>
        <v/>
      </c>
      <c r="BF37" s="28" t="str">
        <f ca="1">IF(AND($C37="Objetivo",BF$5&gt;=$E37,BF$5&lt;=$E37+$F37-1),2,IF(AND($C37="Hito",BF$5&gt;=$E37,BF$5&lt;=$E37+$F37-1),1,""))</f>
        <v/>
      </c>
      <c r="BG37" s="28" t="str">
        <f ca="1">IF(AND($C37="Objetivo",BG$5&gt;=$E37,BG$5&lt;=$E37+$F37-1),2,IF(AND($C37="Hito",BG$5&gt;=$E37,BG$5&lt;=$E37+$F37-1),1,""))</f>
        <v/>
      </c>
      <c r="BH37" s="28" t="str">
        <f ca="1">IF(AND($C37="Objetivo",BH$5&gt;=$E37,BH$5&lt;=$E37+$F37-1),2,IF(AND($C37="Hito",BH$5&gt;=$E37,BH$5&lt;=$E37+$F37-1),1,""))</f>
        <v/>
      </c>
      <c r="BI37" s="28" t="str">
        <f ca="1">IF(AND($C37="Objetivo",BI$5&gt;=$E37,BI$5&lt;=$E37+$F37-1),2,IF(AND($C37="Hito",BI$5&gt;=$E37,BI$5&lt;=$E37+$F37-1),1,""))</f>
        <v/>
      </c>
      <c r="BJ37" s="28" t="str">
        <f ca="1">IF(AND($C37="Objetivo",BJ$5&gt;=$E37,BJ$5&lt;=$E37+$F37-1),2,IF(AND($C37="Hito",BJ$5&gt;=$E37,BJ$5&lt;=$E37+$F37-1),1,""))</f>
        <v/>
      </c>
      <c r="BK37" s="28" t="str">
        <f ca="1">IF(AND($C37="Objetivo",BK$5&gt;=$E37,BK$5&lt;=$E37+$F37-1),2,IF(AND($C37="Hito",BK$5&gt;=$E37,BK$5&lt;=$E37+$F37-1),1,""))</f>
        <v/>
      </c>
      <c r="BL37" s="28" t="str">
        <f ca="1">IF(AND($C37="Objetivo",BL$5&gt;=$E37,BL$5&lt;=$E37+$F37-1),2,IF(AND($C37="Hito",BL$5&gt;=$E37,BL$5&lt;=$E37+$F37-1),1,""))</f>
        <v/>
      </c>
    </row>
    <row r="38" spans="1:64" s="1" customFormat="1" ht="30" customHeight="1" x14ac:dyDescent="0.3">
      <c r="A38" s="10"/>
      <c r="B38" s="53" t="s">
        <v>69</v>
      </c>
      <c r="C38" s="26" t="s">
        <v>24</v>
      </c>
      <c r="D38" s="23">
        <v>0.33</v>
      </c>
      <c r="E38" s="24">
        <f>E36-3</f>
        <v>45855</v>
      </c>
      <c r="F38" s="25">
        <v>10</v>
      </c>
      <c r="H38" s="28"/>
      <c r="I38" s="28" t="str">
        <f ca="1">IF(AND($C38="Objetivo",I$5&gt;=$E38,I$5&lt;=$E38+$F38-1),2,IF(AND($C38="Hito",I$5&gt;=$E38,I$5&lt;=$E38+$F38-1),1,""))</f>
        <v/>
      </c>
      <c r="J38" s="28" t="str">
        <f ca="1">IF(AND($C38="Objetivo",J$5&gt;=$E38,J$5&lt;=$E38+$F38-1),2,IF(AND($C38="Hito",J$5&gt;=$E38,J$5&lt;=$E38+$F38-1),1,""))</f>
        <v/>
      </c>
      <c r="K38" s="28" t="str">
        <f ca="1">IF(AND($C38="Objetivo",K$5&gt;=$E38,K$5&lt;=$E38+$F38-1),2,IF(AND($C38="Hito",K$5&gt;=$E38,K$5&lt;=$E38+$F38-1),1,""))</f>
        <v/>
      </c>
      <c r="L38" s="28" t="str">
        <f ca="1">IF(AND($C38="Objetivo",L$5&gt;=$E38,L$5&lt;=$E38+$F38-1),2,IF(AND($C38="Hito",L$5&gt;=$E38,L$5&lt;=$E38+$F38-1),1,""))</f>
        <v/>
      </c>
      <c r="M38" s="28" t="str">
        <f ca="1">IF(AND($C38="Objetivo",M$5&gt;=$E38,M$5&lt;=$E38+$F38-1),2,IF(AND($C38="Hito",M$5&gt;=$E38,M$5&lt;=$E38+$F38-1),1,""))</f>
        <v/>
      </c>
      <c r="N38" s="28" t="str">
        <f ca="1">IF(AND($C38="Objetivo",N$5&gt;=$E38,N$5&lt;=$E38+$F38-1),2,IF(AND($C38="Hito",N$5&gt;=$E38,N$5&lt;=$E38+$F38-1),1,""))</f>
        <v/>
      </c>
      <c r="O38" s="28" t="str">
        <f ca="1">IF(AND($C38="Objetivo",O$5&gt;=$E38,O$5&lt;=$E38+$F38-1),2,IF(AND($C38="Hito",O$5&gt;=$E38,O$5&lt;=$E38+$F38-1),1,""))</f>
        <v/>
      </c>
      <c r="P38" s="28" t="str">
        <f ca="1">IF(AND($C38="Objetivo",P$5&gt;=$E38,P$5&lt;=$E38+$F38-1),2,IF(AND($C38="Hito",P$5&gt;=$E38,P$5&lt;=$E38+$F38-1),1,""))</f>
        <v/>
      </c>
      <c r="Q38" s="28" t="str">
        <f ca="1">IF(AND($C38="Objetivo",Q$5&gt;=$E38,Q$5&lt;=$E38+$F38-1),2,IF(AND($C38="Hito",Q$5&gt;=$E38,Q$5&lt;=$E38+$F38-1),1,""))</f>
        <v/>
      </c>
      <c r="R38" s="28" t="str">
        <f ca="1">IF(AND($C38="Objetivo",R$5&gt;=$E38,R$5&lt;=$E38+$F38-1),2,IF(AND($C38="Hito",R$5&gt;=$E38,R$5&lt;=$E38+$F38-1),1,""))</f>
        <v/>
      </c>
      <c r="S38" s="28" t="str">
        <f ca="1">IF(AND($C38="Objetivo",S$5&gt;=$E38,S$5&lt;=$E38+$F38-1),2,IF(AND($C38="Hito",S$5&gt;=$E38,S$5&lt;=$E38+$F38-1),1,""))</f>
        <v/>
      </c>
      <c r="T38" s="28" t="str">
        <f ca="1">IF(AND($C38="Objetivo",T$5&gt;=$E38,T$5&lt;=$E38+$F38-1),2,IF(AND($C38="Hito",T$5&gt;=$E38,T$5&lt;=$E38+$F38-1),1,""))</f>
        <v/>
      </c>
      <c r="U38" s="28" t="str">
        <f ca="1">IF(AND($C38="Objetivo",U$5&gt;=$E38,U$5&lt;=$E38+$F38-1),2,IF(AND($C38="Hito",U$5&gt;=$E38,U$5&lt;=$E38+$F38-1),1,""))</f>
        <v/>
      </c>
      <c r="V38" s="28" t="str">
        <f ca="1">IF(AND($C38="Objetivo",V$5&gt;=$E38,V$5&lt;=$E38+$F38-1),2,IF(AND($C38="Hito",V$5&gt;=$E38,V$5&lt;=$E38+$F38-1),1,""))</f>
        <v/>
      </c>
      <c r="W38" s="28" t="str">
        <f ca="1">IF(AND($C38="Objetivo",W$5&gt;=$E38,W$5&lt;=$E38+$F38-1),2,IF(AND($C38="Hito",W$5&gt;=$E38,W$5&lt;=$E38+$F38-1),1,""))</f>
        <v/>
      </c>
      <c r="X38" s="28" t="str">
        <f ca="1">IF(AND($C38="Objetivo",X$5&gt;=$E38,X$5&lt;=$E38+$F38-1),2,IF(AND($C38="Hito",X$5&gt;=$E38,X$5&lt;=$E38+$F38-1),1,""))</f>
        <v/>
      </c>
      <c r="Y38" s="28" t="str">
        <f ca="1">IF(AND($C38="Objetivo",Y$5&gt;=$E38,Y$5&lt;=$E38+$F38-1),2,IF(AND($C38="Hito",Y$5&gt;=$E38,Y$5&lt;=$E38+$F38-1),1,""))</f>
        <v/>
      </c>
      <c r="Z38" s="28" t="str">
        <f ca="1">IF(AND($C38="Objetivo",Z$5&gt;=$E38,Z$5&lt;=$E38+$F38-1),2,IF(AND($C38="Hito",Z$5&gt;=$E38,Z$5&lt;=$E38+$F38-1),1,""))</f>
        <v/>
      </c>
      <c r="AA38" s="28" t="str">
        <f ca="1">IF(AND($C38="Objetivo",AA$5&gt;=$E38,AA$5&lt;=$E38+$F38-1),2,IF(AND($C38="Hito",AA$5&gt;=$E38,AA$5&lt;=$E38+$F38-1),1,""))</f>
        <v/>
      </c>
      <c r="AB38" s="28" t="str">
        <f ca="1">IF(AND($C38="Objetivo",AB$5&gt;=$E38,AB$5&lt;=$E38+$F38-1),2,IF(AND($C38="Hito",AB$5&gt;=$E38,AB$5&lt;=$E38+$F38-1),1,""))</f>
        <v/>
      </c>
      <c r="AC38" s="28" t="str">
        <f ca="1">IF(AND($C38="Objetivo",AC$5&gt;=$E38,AC$5&lt;=$E38+$F38-1),2,IF(AND($C38="Hito",AC$5&gt;=$E38,AC$5&lt;=$E38+$F38-1),1,""))</f>
        <v/>
      </c>
      <c r="AD38" s="28" t="str">
        <f ca="1">IF(AND($C38="Objetivo",AD$5&gt;=$E38,AD$5&lt;=$E38+$F38-1),2,IF(AND($C38="Hito",AD$5&gt;=$E38,AD$5&lt;=$E38+$F38-1),1,""))</f>
        <v/>
      </c>
      <c r="AE38" s="28" t="str">
        <f ca="1">IF(AND($C38="Objetivo",AE$5&gt;=$E38,AE$5&lt;=$E38+$F38-1),2,IF(AND($C38="Hito",AE$5&gt;=$E38,AE$5&lt;=$E38+$F38-1),1,""))</f>
        <v/>
      </c>
      <c r="AF38" s="28" t="str">
        <f ca="1">IF(AND($C38="Objetivo",AF$5&gt;=$E38,AF$5&lt;=$E38+$F38-1),2,IF(AND($C38="Hito",AF$5&gt;=$E38,AF$5&lt;=$E38+$F38-1),1,""))</f>
        <v/>
      </c>
      <c r="AG38" s="28" t="str">
        <f ca="1">IF(AND($C38="Objetivo",AG$5&gt;=$E38,AG$5&lt;=$E38+$F38-1),2,IF(AND($C38="Hito",AG$5&gt;=$E38,AG$5&lt;=$E38+$F38-1),1,""))</f>
        <v/>
      </c>
      <c r="AH38" s="28" t="str">
        <f ca="1">IF(AND($C38="Objetivo",AH$5&gt;=$E38,AH$5&lt;=$E38+$F38-1),2,IF(AND($C38="Hito",AH$5&gt;=$E38,AH$5&lt;=$E38+$F38-1),1,""))</f>
        <v/>
      </c>
      <c r="AI38" s="28" t="str">
        <f ca="1">IF(AND($C38="Objetivo",AI$5&gt;=$E38,AI$5&lt;=$E38+$F38-1),2,IF(AND($C38="Hito",AI$5&gt;=$E38,AI$5&lt;=$E38+$F38-1),1,""))</f>
        <v/>
      </c>
      <c r="AJ38" s="28" t="str">
        <f ca="1">IF(AND($C38="Objetivo",AJ$5&gt;=$E38,AJ$5&lt;=$E38+$F38-1),2,IF(AND($C38="Hito",AJ$5&gt;=$E38,AJ$5&lt;=$E38+$F38-1),1,""))</f>
        <v/>
      </c>
      <c r="AK38" s="28" t="str">
        <f ca="1">IF(AND($C38="Objetivo",AK$5&gt;=$E38,AK$5&lt;=$E38+$F38-1),2,IF(AND($C38="Hito",AK$5&gt;=$E38,AK$5&lt;=$E38+$F38-1),1,""))</f>
        <v/>
      </c>
      <c r="AL38" s="28" t="str">
        <f ca="1">IF(AND($C38="Objetivo",AL$5&gt;=$E38,AL$5&lt;=$E38+$F38-1),2,IF(AND($C38="Hito",AL$5&gt;=$E38,AL$5&lt;=$E38+$F38-1),1,""))</f>
        <v/>
      </c>
      <c r="AM38" s="28" t="str">
        <f ca="1">IF(AND($C38="Objetivo",AM$5&gt;=$E38,AM$5&lt;=$E38+$F38-1),2,IF(AND($C38="Hito",AM$5&gt;=$E38,AM$5&lt;=$E38+$F38-1),1,""))</f>
        <v/>
      </c>
      <c r="AN38" s="28" t="str">
        <f ca="1">IF(AND($C38="Objetivo",AN$5&gt;=$E38,AN$5&lt;=$E38+$F38-1),2,IF(AND($C38="Hito",AN$5&gt;=$E38,AN$5&lt;=$E38+$F38-1),1,""))</f>
        <v/>
      </c>
      <c r="AO38" s="28" t="str">
        <f ca="1">IF(AND($C38="Objetivo",AO$5&gt;=$E38,AO$5&lt;=$E38+$F38-1),2,IF(AND($C38="Hito",AO$5&gt;=$E38,AO$5&lt;=$E38+$F38-1),1,""))</f>
        <v/>
      </c>
      <c r="AP38" s="28" t="str">
        <f ca="1">IF(AND($C38="Objetivo",AP$5&gt;=$E38,AP$5&lt;=$E38+$F38-1),2,IF(AND($C38="Hito",AP$5&gt;=$E38,AP$5&lt;=$E38+$F38-1),1,""))</f>
        <v/>
      </c>
      <c r="AQ38" s="28" t="str">
        <f ca="1">IF(AND($C38="Objetivo",AQ$5&gt;=$E38,AQ$5&lt;=$E38+$F38-1),2,IF(AND($C38="Hito",AQ$5&gt;=$E38,AQ$5&lt;=$E38+$F38-1),1,""))</f>
        <v/>
      </c>
      <c r="AR38" s="28" t="str">
        <f ca="1">IF(AND($C38="Objetivo",AR$5&gt;=$E38,AR$5&lt;=$E38+$F38-1),2,IF(AND($C38="Hito",AR$5&gt;=$E38,AR$5&lt;=$E38+$F38-1),1,""))</f>
        <v/>
      </c>
      <c r="AS38" s="28" t="str">
        <f ca="1">IF(AND($C38="Objetivo",AS$5&gt;=$E38,AS$5&lt;=$E38+$F38-1),2,IF(AND($C38="Hito",AS$5&gt;=$E38,AS$5&lt;=$E38+$F38-1),1,""))</f>
        <v/>
      </c>
      <c r="AT38" s="28" t="str">
        <f ca="1">IF(AND($C38="Objetivo",AT$5&gt;=$E38,AT$5&lt;=$E38+$F38-1),2,IF(AND($C38="Hito",AT$5&gt;=$E38,AT$5&lt;=$E38+$F38-1),1,""))</f>
        <v/>
      </c>
      <c r="AU38" s="28" t="str">
        <f ca="1">IF(AND($C38="Objetivo",AU$5&gt;=$E38,AU$5&lt;=$E38+$F38-1),2,IF(AND($C38="Hito",AU$5&gt;=$E38,AU$5&lt;=$E38+$F38-1),1,""))</f>
        <v/>
      </c>
      <c r="AV38" s="28" t="str">
        <f ca="1">IF(AND($C38="Objetivo",AV$5&gt;=$E38,AV$5&lt;=$E38+$F38-1),2,IF(AND($C38="Hito",AV$5&gt;=$E38,AV$5&lt;=$E38+$F38-1),1,""))</f>
        <v/>
      </c>
      <c r="AW38" s="28" t="str">
        <f ca="1">IF(AND($C38="Objetivo",AW$5&gt;=$E38,AW$5&lt;=$E38+$F38-1),2,IF(AND($C38="Hito",AW$5&gt;=$E38,AW$5&lt;=$E38+$F38-1),1,""))</f>
        <v/>
      </c>
      <c r="AX38" s="28" t="str">
        <f ca="1">IF(AND($C38="Objetivo",AX$5&gt;=$E38,AX$5&lt;=$E38+$F38-1),2,IF(AND($C38="Hito",AX$5&gt;=$E38,AX$5&lt;=$E38+$F38-1),1,""))</f>
        <v/>
      </c>
      <c r="AY38" s="28" t="str">
        <f ca="1">IF(AND($C38="Objetivo",AY$5&gt;=$E38,AY$5&lt;=$E38+$F38-1),2,IF(AND($C38="Hito",AY$5&gt;=$E38,AY$5&lt;=$E38+$F38-1),1,""))</f>
        <v/>
      </c>
      <c r="AZ38" s="28" t="str">
        <f ca="1">IF(AND($C38="Objetivo",AZ$5&gt;=$E38,AZ$5&lt;=$E38+$F38-1),2,IF(AND($C38="Hito",AZ$5&gt;=$E38,AZ$5&lt;=$E38+$F38-1),1,""))</f>
        <v/>
      </c>
      <c r="BA38" s="28" t="str">
        <f ca="1">IF(AND($C38="Objetivo",BA$5&gt;=$E38,BA$5&lt;=$E38+$F38-1),2,IF(AND($C38="Hito",BA$5&gt;=$E38,BA$5&lt;=$E38+$F38-1),1,""))</f>
        <v/>
      </c>
      <c r="BB38" s="28" t="str">
        <f ca="1">IF(AND($C38="Objetivo",BB$5&gt;=$E38,BB$5&lt;=$E38+$F38-1),2,IF(AND($C38="Hito",BB$5&gt;=$E38,BB$5&lt;=$E38+$F38-1),1,""))</f>
        <v/>
      </c>
      <c r="BC38" s="28" t="str">
        <f ca="1">IF(AND($C38="Objetivo",BC$5&gt;=$E38,BC$5&lt;=$E38+$F38-1),2,IF(AND($C38="Hito",BC$5&gt;=$E38,BC$5&lt;=$E38+$F38-1),1,""))</f>
        <v/>
      </c>
      <c r="BD38" s="28" t="str">
        <f ca="1">IF(AND($C38="Objetivo",BD$5&gt;=$E38,BD$5&lt;=$E38+$F38-1),2,IF(AND($C38="Hito",BD$5&gt;=$E38,BD$5&lt;=$E38+$F38-1),1,""))</f>
        <v/>
      </c>
      <c r="BE38" s="28" t="str">
        <f ca="1">IF(AND($C38="Objetivo",BE$5&gt;=$E38,BE$5&lt;=$E38+$F38-1),2,IF(AND($C38="Hito",BE$5&gt;=$E38,BE$5&lt;=$E38+$F38-1),1,""))</f>
        <v/>
      </c>
      <c r="BF38" s="28" t="str">
        <f ca="1">IF(AND($C38="Objetivo",BF$5&gt;=$E38,BF$5&lt;=$E38+$F38-1),2,IF(AND($C38="Hito",BF$5&gt;=$E38,BF$5&lt;=$E38+$F38-1),1,""))</f>
        <v/>
      </c>
      <c r="BG38" s="28" t="str">
        <f ca="1">IF(AND($C38="Objetivo",BG$5&gt;=$E38,BG$5&lt;=$E38+$F38-1),2,IF(AND($C38="Hito",BG$5&gt;=$E38,BG$5&lt;=$E38+$F38-1),1,""))</f>
        <v/>
      </c>
      <c r="BH38" s="28" t="str">
        <f ca="1">IF(AND($C38="Objetivo",BH$5&gt;=$E38,BH$5&lt;=$E38+$F38-1),2,IF(AND($C38="Hito",BH$5&gt;=$E38,BH$5&lt;=$E38+$F38-1),1,""))</f>
        <v/>
      </c>
      <c r="BI38" s="28" t="str">
        <f ca="1">IF(AND($C38="Objetivo",BI$5&gt;=$E38,BI$5&lt;=$E38+$F38-1),2,IF(AND($C38="Hito",BI$5&gt;=$E38,BI$5&lt;=$E38+$F38-1),1,""))</f>
        <v/>
      </c>
      <c r="BJ38" s="28" t="str">
        <f ca="1">IF(AND($C38="Objetivo",BJ$5&gt;=$E38,BJ$5&lt;=$E38+$F38-1),2,IF(AND($C38="Hito",BJ$5&gt;=$E38,BJ$5&lt;=$E38+$F38-1),1,""))</f>
        <v/>
      </c>
      <c r="BK38" s="28" t="str">
        <f ca="1">IF(AND($C38="Objetivo",BK$5&gt;=$E38,BK$5&lt;=$E38+$F38-1),2,IF(AND($C38="Hito",BK$5&gt;=$E38,BK$5&lt;=$E38+$F38-1),1,""))</f>
        <v/>
      </c>
      <c r="BL38" s="28" t="str">
        <f>IF(AND($C38="Objetivo",BL$5&gt;=$E38,BL$5&lt;=$E38+$F38-1),2,IF(AND($C38="Hito",BL$5&gt;=$E38,BL$5&lt;=$E38+$F38-1),1,""))</f>
        <v/>
      </c>
    </row>
    <row r="39" spans="1:64" s="1" customFormat="1" ht="30" customHeight="1" x14ac:dyDescent="0.3">
      <c r="A39" s="10"/>
      <c r="B39" s="53" t="s">
        <v>70</v>
      </c>
      <c r="C39" s="26" t="s">
        <v>24</v>
      </c>
      <c r="D39" s="23">
        <v>0.33</v>
      </c>
      <c r="E39" s="24">
        <f>E36+20</f>
        <v>45878</v>
      </c>
      <c r="F39" s="25">
        <v>1</v>
      </c>
      <c r="H39" s="28"/>
      <c r="I39" s="28" t="str">
        <f ca="1">IF(AND($C39="Objetivo",I$5&gt;=$E39,I$5&lt;=$E39+$F39-1),2,IF(AND($C39="Hito",I$5&gt;=$E39,I$5&lt;=$E39+$F39-1),1,""))</f>
        <v/>
      </c>
      <c r="J39" s="28" t="str">
        <f ca="1">IF(AND($C39="Objetivo",J$5&gt;=$E39,J$5&lt;=$E39+$F39-1),2,IF(AND($C39="Hito",J$5&gt;=$E39,J$5&lt;=$E39+$F39-1),1,""))</f>
        <v/>
      </c>
      <c r="K39" s="28" t="str">
        <f ca="1">IF(AND($C39="Objetivo",K$5&gt;=$E39,K$5&lt;=$E39+$F39-1),2,IF(AND($C39="Hito",K$5&gt;=$E39,K$5&lt;=$E39+$F39-1),1,""))</f>
        <v/>
      </c>
      <c r="L39" s="28" t="str">
        <f ca="1">IF(AND($C39="Objetivo",L$5&gt;=$E39,L$5&lt;=$E39+$F39-1),2,IF(AND($C39="Hito",L$5&gt;=$E39,L$5&lt;=$E39+$F39-1),1,""))</f>
        <v/>
      </c>
      <c r="M39" s="28" t="str">
        <f ca="1">IF(AND($C39="Objetivo",M$5&gt;=$E39,M$5&lt;=$E39+$F39-1),2,IF(AND($C39="Hito",M$5&gt;=$E39,M$5&lt;=$E39+$F39-1),1,""))</f>
        <v/>
      </c>
      <c r="N39" s="28" t="str">
        <f ca="1">IF(AND($C39="Objetivo",N$5&gt;=$E39,N$5&lt;=$E39+$F39-1),2,IF(AND($C39="Hito",N$5&gt;=$E39,N$5&lt;=$E39+$F39-1),1,""))</f>
        <v/>
      </c>
      <c r="O39" s="28" t="str">
        <f ca="1">IF(AND($C39="Objetivo",O$5&gt;=$E39,O$5&lt;=$E39+$F39-1),2,IF(AND($C39="Hito",O$5&gt;=$E39,O$5&lt;=$E39+$F39-1),1,""))</f>
        <v/>
      </c>
      <c r="P39" s="28" t="str">
        <f ca="1">IF(AND($C39="Objetivo",P$5&gt;=$E39,P$5&lt;=$E39+$F39-1),2,IF(AND($C39="Hito",P$5&gt;=$E39,P$5&lt;=$E39+$F39-1),1,""))</f>
        <v/>
      </c>
      <c r="Q39" s="28" t="str">
        <f ca="1">IF(AND($C39="Objetivo",Q$5&gt;=$E39,Q$5&lt;=$E39+$F39-1),2,IF(AND($C39="Hito",Q$5&gt;=$E39,Q$5&lt;=$E39+$F39-1),1,""))</f>
        <v/>
      </c>
      <c r="R39" s="28" t="str">
        <f ca="1">IF(AND($C39="Objetivo",R$5&gt;=$E39,R$5&lt;=$E39+$F39-1),2,IF(AND($C39="Hito",R$5&gt;=$E39,R$5&lt;=$E39+$F39-1),1,""))</f>
        <v/>
      </c>
      <c r="S39" s="28" t="str">
        <f ca="1">IF(AND($C39="Objetivo",S$5&gt;=$E39,S$5&lt;=$E39+$F39-1),2,IF(AND($C39="Hito",S$5&gt;=$E39,S$5&lt;=$E39+$F39-1),1,""))</f>
        <v/>
      </c>
      <c r="T39" s="28" t="str">
        <f ca="1">IF(AND($C39="Objetivo",T$5&gt;=$E39,T$5&lt;=$E39+$F39-1),2,IF(AND($C39="Hito",T$5&gt;=$E39,T$5&lt;=$E39+$F39-1),1,""))</f>
        <v/>
      </c>
      <c r="U39" s="28" t="str">
        <f ca="1">IF(AND($C39="Objetivo",U$5&gt;=$E39,U$5&lt;=$E39+$F39-1),2,IF(AND($C39="Hito",U$5&gt;=$E39,U$5&lt;=$E39+$F39-1),1,""))</f>
        <v/>
      </c>
      <c r="V39" s="28" t="str">
        <f ca="1">IF(AND($C39="Objetivo",V$5&gt;=$E39,V$5&lt;=$E39+$F39-1),2,IF(AND($C39="Hito",V$5&gt;=$E39,V$5&lt;=$E39+$F39-1),1,""))</f>
        <v/>
      </c>
      <c r="W39" s="28" t="str">
        <f ca="1">IF(AND($C39="Objetivo",W$5&gt;=$E39,W$5&lt;=$E39+$F39-1),2,IF(AND($C39="Hito",W$5&gt;=$E39,W$5&lt;=$E39+$F39-1),1,""))</f>
        <v/>
      </c>
      <c r="X39" s="28" t="str">
        <f ca="1">IF(AND($C39="Objetivo",X$5&gt;=$E39,X$5&lt;=$E39+$F39-1),2,IF(AND($C39="Hito",X$5&gt;=$E39,X$5&lt;=$E39+$F39-1),1,""))</f>
        <v/>
      </c>
      <c r="Y39" s="28" t="str">
        <f ca="1">IF(AND($C39="Objetivo",Y$5&gt;=$E39,Y$5&lt;=$E39+$F39-1),2,IF(AND($C39="Hito",Y$5&gt;=$E39,Y$5&lt;=$E39+$F39-1),1,""))</f>
        <v/>
      </c>
      <c r="Z39" s="28" t="str">
        <f ca="1">IF(AND($C39="Objetivo",Z$5&gt;=$E39,Z$5&lt;=$E39+$F39-1),2,IF(AND($C39="Hito",Z$5&gt;=$E39,Z$5&lt;=$E39+$F39-1),1,""))</f>
        <v/>
      </c>
      <c r="AA39" s="28" t="str">
        <f ca="1">IF(AND($C39="Objetivo",AA$5&gt;=$E39,AA$5&lt;=$E39+$F39-1),2,IF(AND($C39="Hito",AA$5&gt;=$E39,AA$5&lt;=$E39+$F39-1),1,""))</f>
        <v/>
      </c>
      <c r="AB39" s="28" t="str">
        <f ca="1">IF(AND($C39="Objetivo",AB$5&gt;=$E39,AB$5&lt;=$E39+$F39-1),2,IF(AND($C39="Hito",AB$5&gt;=$E39,AB$5&lt;=$E39+$F39-1),1,""))</f>
        <v/>
      </c>
      <c r="AC39" s="28" t="str">
        <f ca="1">IF(AND($C39="Objetivo",AC$5&gt;=$E39,AC$5&lt;=$E39+$F39-1),2,IF(AND($C39="Hito",AC$5&gt;=$E39,AC$5&lt;=$E39+$F39-1),1,""))</f>
        <v/>
      </c>
      <c r="AD39" s="28" t="str">
        <f ca="1">IF(AND($C39="Objetivo",AD$5&gt;=$E39,AD$5&lt;=$E39+$F39-1),2,IF(AND($C39="Hito",AD$5&gt;=$E39,AD$5&lt;=$E39+$F39-1),1,""))</f>
        <v/>
      </c>
      <c r="AE39" s="28" t="str">
        <f ca="1">IF(AND($C39="Objetivo",AE$5&gt;=$E39,AE$5&lt;=$E39+$F39-1),2,IF(AND($C39="Hito",AE$5&gt;=$E39,AE$5&lt;=$E39+$F39-1),1,""))</f>
        <v/>
      </c>
      <c r="AF39" s="28" t="str">
        <f ca="1">IF(AND($C39="Objetivo",AF$5&gt;=$E39,AF$5&lt;=$E39+$F39-1),2,IF(AND($C39="Hito",AF$5&gt;=$E39,AF$5&lt;=$E39+$F39-1),1,""))</f>
        <v/>
      </c>
      <c r="AG39" s="28" t="str">
        <f ca="1">IF(AND($C39="Objetivo",AG$5&gt;=$E39,AG$5&lt;=$E39+$F39-1),2,IF(AND($C39="Hito",AG$5&gt;=$E39,AG$5&lt;=$E39+$F39-1),1,""))</f>
        <v/>
      </c>
      <c r="AH39" s="28" t="str">
        <f ca="1">IF(AND($C39="Objetivo",AH$5&gt;=$E39,AH$5&lt;=$E39+$F39-1),2,IF(AND($C39="Hito",AH$5&gt;=$E39,AH$5&lt;=$E39+$F39-1),1,""))</f>
        <v/>
      </c>
      <c r="AI39" s="28" t="str">
        <f ca="1">IF(AND($C39="Objetivo",AI$5&gt;=$E39,AI$5&lt;=$E39+$F39-1),2,IF(AND($C39="Hito",AI$5&gt;=$E39,AI$5&lt;=$E39+$F39-1),1,""))</f>
        <v/>
      </c>
      <c r="AJ39" s="28" t="str">
        <f ca="1">IF(AND($C39="Objetivo",AJ$5&gt;=$E39,AJ$5&lt;=$E39+$F39-1),2,IF(AND($C39="Hito",AJ$5&gt;=$E39,AJ$5&lt;=$E39+$F39-1),1,""))</f>
        <v/>
      </c>
      <c r="AK39" s="28" t="str">
        <f ca="1">IF(AND($C39="Objetivo",AK$5&gt;=$E39,AK$5&lt;=$E39+$F39-1),2,IF(AND($C39="Hito",AK$5&gt;=$E39,AK$5&lt;=$E39+$F39-1),1,""))</f>
        <v/>
      </c>
      <c r="AL39" s="28" t="str">
        <f ca="1">IF(AND($C39="Objetivo",AL$5&gt;=$E39,AL$5&lt;=$E39+$F39-1),2,IF(AND($C39="Hito",AL$5&gt;=$E39,AL$5&lt;=$E39+$F39-1),1,""))</f>
        <v/>
      </c>
      <c r="AM39" s="28" t="str">
        <f ca="1">IF(AND($C39="Objetivo",AM$5&gt;=$E39,AM$5&lt;=$E39+$F39-1),2,IF(AND($C39="Hito",AM$5&gt;=$E39,AM$5&lt;=$E39+$F39-1),1,""))</f>
        <v/>
      </c>
      <c r="AN39" s="28" t="str">
        <f ca="1">IF(AND($C39="Objetivo",AN$5&gt;=$E39,AN$5&lt;=$E39+$F39-1),2,IF(AND($C39="Hito",AN$5&gt;=$E39,AN$5&lt;=$E39+$F39-1),1,""))</f>
        <v/>
      </c>
      <c r="AO39" s="28" t="str">
        <f ca="1">IF(AND($C39="Objetivo",AO$5&gt;=$E39,AO$5&lt;=$E39+$F39-1),2,IF(AND($C39="Hito",AO$5&gt;=$E39,AO$5&lt;=$E39+$F39-1),1,""))</f>
        <v/>
      </c>
      <c r="AP39" s="28" t="str">
        <f ca="1">IF(AND($C39="Objetivo",AP$5&gt;=$E39,AP$5&lt;=$E39+$F39-1),2,IF(AND($C39="Hito",AP$5&gt;=$E39,AP$5&lt;=$E39+$F39-1),1,""))</f>
        <v/>
      </c>
      <c r="AQ39" s="28" t="str">
        <f ca="1">IF(AND($C39="Objetivo",AQ$5&gt;=$E39,AQ$5&lt;=$E39+$F39-1),2,IF(AND($C39="Hito",AQ$5&gt;=$E39,AQ$5&lt;=$E39+$F39-1),1,""))</f>
        <v/>
      </c>
      <c r="AR39" s="28" t="str">
        <f ca="1">IF(AND($C39="Objetivo",AR$5&gt;=$E39,AR$5&lt;=$E39+$F39-1),2,IF(AND($C39="Hito",AR$5&gt;=$E39,AR$5&lt;=$E39+$F39-1),1,""))</f>
        <v/>
      </c>
      <c r="AS39" s="28" t="str">
        <f ca="1">IF(AND($C39="Objetivo",AS$5&gt;=$E39,AS$5&lt;=$E39+$F39-1),2,IF(AND($C39="Hito",AS$5&gt;=$E39,AS$5&lt;=$E39+$F39-1),1,""))</f>
        <v/>
      </c>
      <c r="AT39" s="28" t="str">
        <f ca="1">IF(AND($C39="Objetivo",AT$5&gt;=$E39,AT$5&lt;=$E39+$F39-1),2,IF(AND($C39="Hito",AT$5&gt;=$E39,AT$5&lt;=$E39+$F39-1),1,""))</f>
        <v/>
      </c>
      <c r="AU39" s="28" t="str">
        <f ca="1">IF(AND($C39="Objetivo",AU$5&gt;=$E39,AU$5&lt;=$E39+$F39-1),2,IF(AND($C39="Hito",AU$5&gt;=$E39,AU$5&lt;=$E39+$F39-1),1,""))</f>
        <v/>
      </c>
      <c r="AV39" s="28" t="str">
        <f ca="1">IF(AND($C39="Objetivo",AV$5&gt;=$E39,AV$5&lt;=$E39+$F39-1),2,IF(AND($C39="Hito",AV$5&gt;=$E39,AV$5&lt;=$E39+$F39-1),1,""))</f>
        <v/>
      </c>
      <c r="AW39" s="28" t="str">
        <f ca="1">IF(AND($C39="Objetivo",AW$5&gt;=$E39,AW$5&lt;=$E39+$F39-1),2,IF(AND($C39="Hito",AW$5&gt;=$E39,AW$5&lt;=$E39+$F39-1),1,""))</f>
        <v/>
      </c>
      <c r="AX39" s="28" t="str">
        <f ca="1">IF(AND($C39="Objetivo",AX$5&gt;=$E39,AX$5&lt;=$E39+$F39-1),2,IF(AND($C39="Hito",AX$5&gt;=$E39,AX$5&lt;=$E39+$F39-1),1,""))</f>
        <v/>
      </c>
      <c r="AY39" s="28" t="str">
        <f ca="1">IF(AND($C39="Objetivo",AY$5&gt;=$E39,AY$5&lt;=$E39+$F39-1),2,IF(AND($C39="Hito",AY$5&gt;=$E39,AY$5&lt;=$E39+$F39-1),1,""))</f>
        <v/>
      </c>
      <c r="AZ39" s="28" t="str">
        <f ca="1">IF(AND($C39="Objetivo",AZ$5&gt;=$E39,AZ$5&lt;=$E39+$F39-1),2,IF(AND($C39="Hito",AZ$5&gt;=$E39,AZ$5&lt;=$E39+$F39-1),1,""))</f>
        <v/>
      </c>
      <c r="BA39" s="28" t="str">
        <f ca="1">IF(AND($C39="Objetivo",BA$5&gt;=$E39,BA$5&lt;=$E39+$F39-1),2,IF(AND($C39="Hito",BA$5&gt;=$E39,BA$5&lt;=$E39+$F39-1),1,""))</f>
        <v/>
      </c>
      <c r="BB39" s="28" t="str">
        <f ca="1">IF(AND($C39="Objetivo",BB$5&gt;=$E39,BB$5&lt;=$E39+$F39-1),2,IF(AND($C39="Hito",BB$5&gt;=$E39,BB$5&lt;=$E39+$F39-1),1,""))</f>
        <v/>
      </c>
      <c r="BC39" s="28" t="str">
        <f ca="1">IF(AND($C39="Objetivo",BC$5&gt;=$E39,BC$5&lt;=$E39+$F39-1),2,IF(AND($C39="Hito",BC$5&gt;=$E39,BC$5&lt;=$E39+$F39-1),1,""))</f>
        <v/>
      </c>
      <c r="BD39" s="28" t="str">
        <f ca="1">IF(AND($C39="Objetivo",BD$5&gt;=$E39,BD$5&lt;=$E39+$F39-1),2,IF(AND($C39="Hito",BD$5&gt;=$E39,BD$5&lt;=$E39+$F39-1),1,""))</f>
        <v/>
      </c>
      <c r="BE39" s="28" t="str">
        <f ca="1">IF(AND($C39="Objetivo",BE$5&gt;=$E39,BE$5&lt;=$E39+$F39-1),2,IF(AND($C39="Hito",BE$5&gt;=$E39,BE$5&lt;=$E39+$F39-1),1,""))</f>
        <v/>
      </c>
      <c r="BF39" s="28" t="str">
        <f ca="1">IF(AND($C39="Objetivo",BF$5&gt;=$E39,BF$5&lt;=$E39+$F39-1),2,IF(AND($C39="Hito",BF$5&gt;=$E39,BF$5&lt;=$E39+$F39-1),1,""))</f>
        <v/>
      </c>
      <c r="BG39" s="28" t="str">
        <f ca="1">IF(AND($C39="Objetivo",BG$5&gt;=$E39,BG$5&lt;=$E39+$F39-1),2,IF(AND($C39="Hito",BG$5&gt;=$E39,BG$5&lt;=$E39+$F39-1),1,""))</f>
        <v/>
      </c>
      <c r="BH39" s="28" t="str">
        <f ca="1">IF(AND($C39="Objetivo",BH$5&gt;=$E39,BH$5&lt;=$E39+$F39-1),2,IF(AND($C39="Hito",BH$5&gt;=$E39,BH$5&lt;=$E39+$F39-1),1,""))</f>
        <v/>
      </c>
      <c r="BI39" s="28" t="str">
        <f ca="1">IF(AND($C39="Objetivo",BI$5&gt;=$E39,BI$5&lt;=$E39+$F39-1),2,IF(AND($C39="Hito",BI$5&gt;=$E39,BI$5&lt;=$E39+$F39-1),1,""))</f>
        <v/>
      </c>
      <c r="BJ39" s="28" t="str">
        <f ca="1">IF(AND($C39="Objetivo",BJ$5&gt;=$E39,BJ$5&lt;=$E39+$F39-1),2,IF(AND($C39="Hito",BJ$5&gt;=$E39,BJ$5&lt;=$E39+$F39-1),1,""))</f>
        <v/>
      </c>
      <c r="BK39" s="28" t="str">
        <f ca="1">IF(AND($C39="Objetivo",BK$5&gt;=$E39,BK$5&lt;=$E39+$F39-1),2,IF(AND($C39="Hito",BK$5&gt;=$E39,BK$5&lt;=$E39+$F39-1),1,""))</f>
        <v/>
      </c>
      <c r="BL39" s="28" t="str">
        <f>IF(AND($C39="Objetivo",BL$5&gt;=$E39,BL$5&lt;=$E39+$F39-1),2,IF(AND($C39="Hito",BL$5&gt;=$E39,BL$5&lt;=$E39+$F39-1),1,""))</f>
        <v/>
      </c>
    </row>
    <row r="40" spans="1:64" s="1" customFormat="1" ht="30" customHeight="1" x14ac:dyDescent="0.3">
      <c r="A40" s="10"/>
      <c r="B40" s="53" t="s">
        <v>16</v>
      </c>
      <c r="C40" s="26" t="s">
        <v>24</v>
      </c>
      <c r="D40" s="23">
        <v>0.33</v>
      </c>
      <c r="E40" s="24">
        <f>E36+6</f>
        <v>45864</v>
      </c>
      <c r="F40" s="25">
        <v>6</v>
      </c>
      <c r="H40" s="28"/>
      <c r="I40" s="28" t="str">
        <f ca="1">IF(AND($C40="Objetivo",I$5&gt;=$E40,I$5&lt;=$E40+$F40-1),2,IF(AND($C40="Hito",I$5&gt;=$E40,I$5&lt;=$E40+$F40-1),1,""))</f>
        <v/>
      </c>
      <c r="J40" s="28" t="str">
        <f ca="1">IF(AND($C40="Objetivo",J$5&gt;=$E40,J$5&lt;=$E40+$F40-1),2,IF(AND($C40="Hito",J$5&gt;=$E40,J$5&lt;=$E40+$F40-1),1,""))</f>
        <v/>
      </c>
      <c r="K40" s="28" t="str">
        <f ca="1">IF(AND($C40="Objetivo",K$5&gt;=$E40,K$5&lt;=$E40+$F40-1),2,IF(AND($C40="Hito",K$5&gt;=$E40,K$5&lt;=$E40+$F40-1),1,""))</f>
        <v/>
      </c>
      <c r="L40" s="28" t="str">
        <f ca="1">IF(AND($C40="Objetivo",L$5&gt;=$E40,L$5&lt;=$E40+$F40-1),2,IF(AND($C40="Hito",L$5&gt;=$E40,L$5&lt;=$E40+$F40-1),1,""))</f>
        <v/>
      </c>
      <c r="M40" s="28" t="str">
        <f ca="1">IF(AND($C40="Objetivo",M$5&gt;=$E40,M$5&lt;=$E40+$F40-1),2,IF(AND($C40="Hito",M$5&gt;=$E40,M$5&lt;=$E40+$F40-1),1,""))</f>
        <v/>
      </c>
      <c r="N40" s="28" t="str">
        <f ca="1">IF(AND($C40="Objetivo",N$5&gt;=$E40,N$5&lt;=$E40+$F40-1),2,IF(AND($C40="Hito",N$5&gt;=$E40,N$5&lt;=$E40+$F40-1),1,""))</f>
        <v/>
      </c>
      <c r="O40" s="28" t="str">
        <f ca="1">IF(AND($C40="Objetivo",O$5&gt;=$E40,O$5&lt;=$E40+$F40-1),2,IF(AND($C40="Hito",O$5&gt;=$E40,O$5&lt;=$E40+$F40-1),1,""))</f>
        <v/>
      </c>
      <c r="P40" s="28" t="str">
        <f ca="1">IF(AND($C40="Objetivo",P$5&gt;=$E40,P$5&lt;=$E40+$F40-1),2,IF(AND($C40="Hito",P$5&gt;=$E40,P$5&lt;=$E40+$F40-1),1,""))</f>
        <v/>
      </c>
      <c r="Q40" s="28" t="str">
        <f ca="1">IF(AND($C40="Objetivo",Q$5&gt;=$E40,Q$5&lt;=$E40+$F40-1),2,IF(AND($C40="Hito",Q$5&gt;=$E40,Q$5&lt;=$E40+$F40-1),1,""))</f>
        <v/>
      </c>
      <c r="R40" s="28" t="str">
        <f ca="1">IF(AND($C40="Objetivo",R$5&gt;=$E40,R$5&lt;=$E40+$F40-1),2,IF(AND($C40="Hito",R$5&gt;=$E40,R$5&lt;=$E40+$F40-1),1,""))</f>
        <v/>
      </c>
      <c r="S40" s="28" t="str">
        <f ca="1">IF(AND($C40="Objetivo",S$5&gt;=$E40,S$5&lt;=$E40+$F40-1),2,IF(AND($C40="Hito",S$5&gt;=$E40,S$5&lt;=$E40+$F40-1),1,""))</f>
        <v/>
      </c>
      <c r="T40" s="28" t="str">
        <f ca="1">IF(AND($C40="Objetivo",T$5&gt;=$E40,T$5&lt;=$E40+$F40-1),2,IF(AND($C40="Hito",T$5&gt;=$E40,T$5&lt;=$E40+$F40-1),1,""))</f>
        <v/>
      </c>
      <c r="U40" s="28" t="str">
        <f ca="1">IF(AND($C40="Objetivo",U$5&gt;=$E40,U$5&lt;=$E40+$F40-1),2,IF(AND($C40="Hito",U$5&gt;=$E40,U$5&lt;=$E40+$F40-1),1,""))</f>
        <v/>
      </c>
      <c r="V40" s="28" t="str">
        <f ca="1">IF(AND($C40="Objetivo",V$5&gt;=$E40,V$5&lt;=$E40+$F40-1),2,IF(AND($C40="Hito",V$5&gt;=$E40,V$5&lt;=$E40+$F40-1),1,""))</f>
        <v/>
      </c>
      <c r="W40" s="28" t="str">
        <f ca="1">IF(AND($C40="Objetivo",W$5&gt;=$E40,W$5&lt;=$E40+$F40-1),2,IF(AND($C40="Hito",W$5&gt;=$E40,W$5&lt;=$E40+$F40-1),1,""))</f>
        <v/>
      </c>
      <c r="X40" s="28" t="str">
        <f ca="1">IF(AND($C40="Objetivo",X$5&gt;=$E40,X$5&lt;=$E40+$F40-1),2,IF(AND($C40="Hito",X$5&gt;=$E40,X$5&lt;=$E40+$F40-1),1,""))</f>
        <v/>
      </c>
      <c r="Y40" s="28" t="str">
        <f ca="1">IF(AND($C40="Objetivo",Y$5&gt;=$E40,Y$5&lt;=$E40+$F40-1),2,IF(AND($C40="Hito",Y$5&gt;=$E40,Y$5&lt;=$E40+$F40-1),1,""))</f>
        <v/>
      </c>
      <c r="Z40" s="28" t="str">
        <f ca="1">IF(AND($C40="Objetivo",Z$5&gt;=$E40,Z$5&lt;=$E40+$F40-1),2,IF(AND($C40="Hito",Z$5&gt;=$E40,Z$5&lt;=$E40+$F40-1),1,""))</f>
        <v/>
      </c>
      <c r="AA40" s="28" t="str">
        <f ca="1">IF(AND($C40="Objetivo",AA$5&gt;=$E40,AA$5&lt;=$E40+$F40-1),2,IF(AND($C40="Hito",AA$5&gt;=$E40,AA$5&lt;=$E40+$F40-1),1,""))</f>
        <v/>
      </c>
      <c r="AB40" s="28" t="str">
        <f ca="1">IF(AND($C40="Objetivo",AB$5&gt;=$E40,AB$5&lt;=$E40+$F40-1),2,IF(AND($C40="Hito",AB$5&gt;=$E40,AB$5&lt;=$E40+$F40-1),1,""))</f>
        <v/>
      </c>
      <c r="AC40" s="28" t="str">
        <f ca="1">IF(AND($C40="Objetivo",AC$5&gt;=$E40,AC$5&lt;=$E40+$F40-1),2,IF(AND($C40="Hito",AC$5&gt;=$E40,AC$5&lt;=$E40+$F40-1),1,""))</f>
        <v/>
      </c>
      <c r="AD40" s="28" t="str">
        <f ca="1">IF(AND($C40="Objetivo",AD$5&gt;=$E40,AD$5&lt;=$E40+$F40-1),2,IF(AND($C40="Hito",AD$5&gt;=$E40,AD$5&lt;=$E40+$F40-1),1,""))</f>
        <v/>
      </c>
      <c r="AE40" s="28" t="str">
        <f ca="1">IF(AND($C40="Objetivo",AE$5&gt;=$E40,AE$5&lt;=$E40+$F40-1),2,IF(AND($C40="Hito",AE$5&gt;=$E40,AE$5&lt;=$E40+$F40-1),1,""))</f>
        <v/>
      </c>
      <c r="AF40" s="28" t="str">
        <f ca="1">IF(AND($C40="Objetivo",AF$5&gt;=$E40,AF$5&lt;=$E40+$F40-1),2,IF(AND($C40="Hito",AF$5&gt;=$E40,AF$5&lt;=$E40+$F40-1),1,""))</f>
        <v/>
      </c>
      <c r="AG40" s="28" t="str">
        <f ca="1">IF(AND($C40="Objetivo",AG$5&gt;=$E40,AG$5&lt;=$E40+$F40-1),2,IF(AND($C40="Hito",AG$5&gt;=$E40,AG$5&lt;=$E40+$F40-1),1,""))</f>
        <v/>
      </c>
      <c r="AH40" s="28" t="str">
        <f ca="1">IF(AND($C40="Objetivo",AH$5&gt;=$E40,AH$5&lt;=$E40+$F40-1),2,IF(AND($C40="Hito",AH$5&gt;=$E40,AH$5&lt;=$E40+$F40-1),1,""))</f>
        <v/>
      </c>
      <c r="AI40" s="28" t="str">
        <f ca="1">IF(AND($C40="Objetivo",AI$5&gt;=$E40,AI$5&lt;=$E40+$F40-1),2,IF(AND($C40="Hito",AI$5&gt;=$E40,AI$5&lt;=$E40+$F40-1),1,""))</f>
        <v/>
      </c>
      <c r="AJ40" s="28" t="str">
        <f ca="1">IF(AND($C40="Objetivo",AJ$5&gt;=$E40,AJ$5&lt;=$E40+$F40-1),2,IF(AND($C40="Hito",AJ$5&gt;=$E40,AJ$5&lt;=$E40+$F40-1),1,""))</f>
        <v/>
      </c>
      <c r="AK40" s="28" t="str">
        <f ca="1">IF(AND($C40="Objetivo",AK$5&gt;=$E40,AK$5&lt;=$E40+$F40-1),2,IF(AND($C40="Hito",AK$5&gt;=$E40,AK$5&lt;=$E40+$F40-1),1,""))</f>
        <v/>
      </c>
      <c r="AL40" s="28" t="str">
        <f ca="1">IF(AND($C40="Objetivo",AL$5&gt;=$E40,AL$5&lt;=$E40+$F40-1),2,IF(AND($C40="Hito",AL$5&gt;=$E40,AL$5&lt;=$E40+$F40-1),1,""))</f>
        <v/>
      </c>
      <c r="AM40" s="28" t="str">
        <f ca="1">IF(AND($C40="Objetivo",AM$5&gt;=$E40,AM$5&lt;=$E40+$F40-1),2,IF(AND($C40="Hito",AM$5&gt;=$E40,AM$5&lt;=$E40+$F40-1),1,""))</f>
        <v/>
      </c>
      <c r="AN40" s="28" t="str">
        <f ca="1">IF(AND($C40="Objetivo",AN$5&gt;=$E40,AN$5&lt;=$E40+$F40-1),2,IF(AND($C40="Hito",AN$5&gt;=$E40,AN$5&lt;=$E40+$F40-1),1,""))</f>
        <v/>
      </c>
      <c r="AO40" s="28" t="str">
        <f ca="1">IF(AND($C40="Objetivo",AO$5&gt;=$E40,AO$5&lt;=$E40+$F40-1),2,IF(AND($C40="Hito",AO$5&gt;=$E40,AO$5&lt;=$E40+$F40-1),1,""))</f>
        <v/>
      </c>
      <c r="AP40" s="28" t="str">
        <f ca="1">IF(AND($C40="Objetivo",AP$5&gt;=$E40,AP$5&lt;=$E40+$F40-1),2,IF(AND($C40="Hito",AP$5&gt;=$E40,AP$5&lt;=$E40+$F40-1),1,""))</f>
        <v/>
      </c>
      <c r="AQ40" s="28" t="str">
        <f ca="1">IF(AND($C40="Objetivo",AQ$5&gt;=$E40,AQ$5&lt;=$E40+$F40-1),2,IF(AND($C40="Hito",AQ$5&gt;=$E40,AQ$5&lt;=$E40+$F40-1),1,""))</f>
        <v/>
      </c>
      <c r="AR40" s="28" t="str">
        <f ca="1">IF(AND($C40="Objetivo",AR$5&gt;=$E40,AR$5&lt;=$E40+$F40-1),2,IF(AND($C40="Hito",AR$5&gt;=$E40,AR$5&lt;=$E40+$F40-1),1,""))</f>
        <v/>
      </c>
      <c r="AS40" s="28" t="str">
        <f ca="1">IF(AND($C40="Objetivo",AS$5&gt;=$E40,AS$5&lt;=$E40+$F40-1),2,IF(AND($C40="Hito",AS$5&gt;=$E40,AS$5&lt;=$E40+$F40-1),1,""))</f>
        <v/>
      </c>
      <c r="AT40" s="28" t="str">
        <f ca="1">IF(AND($C40="Objetivo",AT$5&gt;=$E40,AT$5&lt;=$E40+$F40-1),2,IF(AND($C40="Hito",AT$5&gt;=$E40,AT$5&lt;=$E40+$F40-1),1,""))</f>
        <v/>
      </c>
      <c r="AU40" s="28" t="str">
        <f ca="1">IF(AND($C40="Objetivo",AU$5&gt;=$E40,AU$5&lt;=$E40+$F40-1),2,IF(AND($C40="Hito",AU$5&gt;=$E40,AU$5&lt;=$E40+$F40-1),1,""))</f>
        <v/>
      </c>
      <c r="AV40" s="28" t="str">
        <f ca="1">IF(AND($C40="Objetivo",AV$5&gt;=$E40,AV$5&lt;=$E40+$F40-1),2,IF(AND($C40="Hito",AV$5&gt;=$E40,AV$5&lt;=$E40+$F40-1),1,""))</f>
        <v/>
      </c>
      <c r="AW40" s="28" t="str">
        <f ca="1">IF(AND($C40="Objetivo",AW$5&gt;=$E40,AW$5&lt;=$E40+$F40-1),2,IF(AND($C40="Hito",AW$5&gt;=$E40,AW$5&lt;=$E40+$F40-1),1,""))</f>
        <v/>
      </c>
      <c r="AX40" s="28" t="str">
        <f ca="1">IF(AND($C40="Objetivo",AX$5&gt;=$E40,AX$5&lt;=$E40+$F40-1),2,IF(AND($C40="Hito",AX$5&gt;=$E40,AX$5&lt;=$E40+$F40-1),1,""))</f>
        <v/>
      </c>
      <c r="AY40" s="28" t="str">
        <f ca="1">IF(AND($C40="Objetivo",AY$5&gt;=$E40,AY$5&lt;=$E40+$F40-1),2,IF(AND($C40="Hito",AY$5&gt;=$E40,AY$5&lt;=$E40+$F40-1),1,""))</f>
        <v/>
      </c>
      <c r="AZ40" s="28" t="str">
        <f ca="1">IF(AND($C40="Objetivo",AZ$5&gt;=$E40,AZ$5&lt;=$E40+$F40-1),2,IF(AND($C40="Hito",AZ$5&gt;=$E40,AZ$5&lt;=$E40+$F40-1),1,""))</f>
        <v/>
      </c>
      <c r="BA40" s="28" t="str">
        <f ca="1">IF(AND($C40="Objetivo",BA$5&gt;=$E40,BA$5&lt;=$E40+$F40-1),2,IF(AND($C40="Hito",BA$5&gt;=$E40,BA$5&lt;=$E40+$F40-1),1,""))</f>
        <v/>
      </c>
      <c r="BB40" s="28" t="str">
        <f ca="1">IF(AND($C40="Objetivo",BB$5&gt;=$E40,BB$5&lt;=$E40+$F40-1),2,IF(AND($C40="Hito",BB$5&gt;=$E40,BB$5&lt;=$E40+$F40-1),1,""))</f>
        <v/>
      </c>
      <c r="BC40" s="28" t="str">
        <f ca="1">IF(AND($C40="Objetivo",BC$5&gt;=$E40,BC$5&lt;=$E40+$F40-1),2,IF(AND($C40="Hito",BC$5&gt;=$E40,BC$5&lt;=$E40+$F40-1),1,""))</f>
        <v/>
      </c>
      <c r="BD40" s="28" t="str">
        <f ca="1">IF(AND($C40="Objetivo",BD$5&gt;=$E40,BD$5&lt;=$E40+$F40-1),2,IF(AND($C40="Hito",BD$5&gt;=$E40,BD$5&lt;=$E40+$F40-1),1,""))</f>
        <v/>
      </c>
      <c r="BE40" s="28" t="str">
        <f ca="1">IF(AND($C40="Objetivo",BE$5&gt;=$E40,BE$5&lt;=$E40+$F40-1),2,IF(AND($C40="Hito",BE$5&gt;=$E40,BE$5&lt;=$E40+$F40-1),1,""))</f>
        <v/>
      </c>
      <c r="BF40" s="28" t="str">
        <f ca="1">IF(AND($C40="Objetivo",BF$5&gt;=$E40,BF$5&lt;=$E40+$F40-1),2,IF(AND($C40="Hito",BF$5&gt;=$E40,BF$5&lt;=$E40+$F40-1),1,""))</f>
        <v/>
      </c>
      <c r="BG40" s="28" t="str">
        <f ca="1">IF(AND($C40="Objetivo",BG$5&gt;=$E40,BG$5&lt;=$E40+$F40-1),2,IF(AND($C40="Hito",BG$5&gt;=$E40,BG$5&lt;=$E40+$F40-1),1,""))</f>
        <v/>
      </c>
      <c r="BH40" s="28" t="str">
        <f ca="1">IF(AND($C40="Objetivo",BH$5&gt;=$E40,BH$5&lt;=$E40+$F40-1),2,IF(AND($C40="Hito",BH$5&gt;=$E40,BH$5&lt;=$E40+$F40-1),1,""))</f>
        <v/>
      </c>
      <c r="BI40" s="28" t="str">
        <f ca="1">IF(AND($C40="Objetivo",BI$5&gt;=$E40,BI$5&lt;=$E40+$F40-1),2,IF(AND($C40="Hito",BI$5&gt;=$E40,BI$5&lt;=$E40+$F40-1),1,""))</f>
        <v/>
      </c>
      <c r="BJ40" s="28" t="str">
        <f ca="1">IF(AND($C40="Objetivo",BJ$5&gt;=$E40,BJ$5&lt;=$E40+$F40-1),2,IF(AND($C40="Hito",BJ$5&gt;=$E40,BJ$5&lt;=$E40+$F40-1),1,""))</f>
        <v/>
      </c>
      <c r="BK40" s="28" t="str">
        <f ca="1">IF(AND($C40="Objetivo",BK$5&gt;=$E40,BK$5&lt;=$E40+$F40-1),2,IF(AND($C40="Hito",BK$5&gt;=$E40,BK$5&lt;=$E40+$F40-1),1,""))</f>
        <v/>
      </c>
      <c r="BL40" s="28" t="str">
        <f>IF(AND($C40="Objetivo",BL$5&gt;=$E40,BL$5&lt;=$E40+$F40-1),2,IF(AND($C40="Hito",BL$5&gt;=$E40,BL$5&lt;=$E40+$F40-1),1,""))</f>
        <v/>
      </c>
    </row>
    <row r="41" spans="1:64" s="1" customFormat="1" ht="30" customHeight="1" x14ac:dyDescent="0.3">
      <c r="A41" s="11"/>
      <c r="B41" s="54" t="s">
        <v>17</v>
      </c>
      <c r="C41" s="26"/>
      <c r="D41" s="26"/>
      <c r="E41" s="24"/>
      <c r="F41" s="42"/>
      <c r="G41" s="42"/>
      <c r="H41" s="28" t="str">
        <f t="shared" ca="1" si="16"/>
        <v/>
      </c>
      <c r="I41" s="28" t="str">
        <f t="shared" ref="I37:X52" ca="1" si="30">IF(AND($C41="Objetivo",I$5&gt;=$F41,I$5&lt;=$F41+$G41-1),2,IF(AND($C41="Hito",I$5&gt;=$F41,I$5&lt;=$F41+$G41-1),1,""))</f>
        <v/>
      </c>
      <c r="J41" s="28" t="str">
        <f t="shared" ca="1" si="26"/>
        <v/>
      </c>
      <c r="K41" s="28" t="str">
        <f t="shared" ca="1" si="26"/>
        <v/>
      </c>
      <c r="L41" s="28" t="str">
        <f t="shared" ca="1" si="26"/>
        <v/>
      </c>
      <c r="M41" s="28" t="str">
        <f t="shared" ca="1" si="26"/>
        <v/>
      </c>
      <c r="N41" s="28" t="str">
        <f t="shared" ca="1" si="26"/>
        <v/>
      </c>
      <c r="O41" s="28" t="str">
        <f t="shared" ca="1" si="26"/>
        <v/>
      </c>
      <c r="P41" s="28" t="str">
        <f t="shared" ca="1" si="26"/>
        <v/>
      </c>
      <c r="Q41" s="28" t="str">
        <f t="shared" ca="1" si="26"/>
        <v/>
      </c>
      <c r="R41" s="28" t="str">
        <f t="shared" ca="1" si="26"/>
        <v/>
      </c>
      <c r="S41" s="28" t="str">
        <f t="shared" ca="1" si="26"/>
        <v/>
      </c>
      <c r="T41" s="28" t="str">
        <f t="shared" ca="1" si="26"/>
        <v/>
      </c>
      <c r="U41" s="28" t="str">
        <f t="shared" ca="1" si="26"/>
        <v/>
      </c>
      <c r="V41" s="28" t="str">
        <f t="shared" ca="1" si="26"/>
        <v/>
      </c>
      <c r="W41" s="28" t="str">
        <f t="shared" ca="1" si="26"/>
        <v/>
      </c>
      <c r="X41" s="28" t="str">
        <f t="shared" ca="1" si="26"/>
        <v/>
      </c>
      <c r="Y41" s="28" t="str">
        <f t="shared" ca="1" si="27"/>
        <v/>
      </c>
      <c r="Z41" s="28" t="str">
        <f t="shared" ca="1" si="27"/>
        <v/>
      </c>
      <c r="AA41" s="28" t="str">
        <f t="shared" ca="1" si="27"/>
        <v/>
      </c>
      <c r="AB41" s="28" t="str">
        <f t="shared" ca="1" si="27"/>
        <v/>
      </c>
      <c r="AC41" s="28" t="str">
        <f t="shared" ca="1" si="27"/>
        <v/>
      </c>
      <c r="AD41" s="28" t="str">
        <f t="shared" ca="1" si="27"/>
        <v/>
      </c>
      <c r="AE41" s="28" t="str">
        <f t="shared" ca="1" si="27"/>
        <v/>
      </c>
      <c r="AF41" s="28" t="str">
        <f t="shared" ca="1" si="27"/>
        <v/>
      </c>
      <c r="AG41" s="28" t="str">
        <f t="shared" ca="1" si="27"/>
        <v/>
      </c>
      <c r="AH41" s="28" t="str">
        <f t="shared" ca="1" si="27"/>
        <v/>
      </c>
      <c r="AI41" s="28" t="str">
        <f t="shared" ca="1" si="27"/>
        <v/>
      </c>
      <c r="AJ41" s="28" t="str">
        <f t="shared" ca="1" si="27"/>
        <v/>
      </c>
      <c r="AK41" s="28" t="str">
        <f t="shared" ca="1" si="27"/>
        <v/>
      </c>
      <c r="AL41" s="28" t="str">
        <f t="shared" ca="1" si="27"/>
        <v/>
      </c>
      <c r="AM41" s="28" t="str">
        <f t="shared" ca="1" si="27"/>
        <v/>
      </c>
      <c r="AN41" s="28" t="str">
        <f t="shared" ca="1" si="27"/>
        <v/>
      </c>
      <c r="AO41" s="28" t="str">
        <f t="shared" ca="1" si="28"/>
        <v/>
      </c>
      <c r="AP41" s="28" t="str">
        <f t="shared" ca="1" si="28"/>
        <v/>
      </c>
      <c r="AQ41" s="28" t="str">
        <f t="shared" ca="1" si="28"/>
        <v/>
      </c>
      <c r="AR41" s="28" t="str">
        <f t="shared" ca="1" si="28"/>
        <v/>
      </c>
      <c r="AS41" s="28" t="str">
        <f t="shared" ca="1" si="28"/>
        <v/>
      </c>
      <c r="AT41" s="28" t="str">
        <f t="shared" ca="1" si="28"/>
        <v/>
      </c>
      <c r="AU41" s="28" t="str">
        <f t="shared" ca="1" si="28"/>
        <v/>
      </c>
      <c r="AV41" s="28" t="str">
        <f t="shared" ca="1" si="28"/>
        <v/>
      </c>
      <c r="AW41" s="28" t="str">
        <f t="shared" ca="1" si="28"/>
        <v/>
      </c>
      <c r="AX41" s="28" t="str">
        <f t="shared" ca="1" si="28"/>
        <v/>
      </c>
      <c r="AY41" s="28" t="str">
        <f t="shared" ca="1" si="28"/>
        <v/>
      </c>
      <c r="AZ41" s="28" t="str">
        <f t="shared" ca="1" si="28"/>
        <v/>
      </c>
      <c r="BA41" s="28" t="str">
        <f t="shared" ca="1" si="28"/>
        <v/>
      </c>
      <c r="BB41" s="28" t="str">
        <f t="shared" ca="1" si="28"/>
        <v/>
      </c>
      <c r="BC41" s="28" t="str">
        <f t="shared" ca="1" si="28"/>
        <v/>
      </c>
      <c r="BD41" s="28" t="str">
        <f t="shared" ca="1" si="28"/>
        <v/>
      </c>
      <c r="BE41" s="28" t="str">
        <f t="shared" ca="1" si="29"/>
        <v/>
      </c>
      <c r="BF41" s="28" t="str">
        <f t="shared" ca="1" si="29"/>
        <v/>
      </c>
      <c r="BG41" s="28" t="str">
        <f t="shared" ca="1" si="29"/>
        <v/>
      </c>
      <c r="BH41" s="28" t="str">
        <f t="shared" ca="1" si="29"/>
        <v/>
      </c>
      <c r="BI41" s="28" t="str">
        <f t="shared" ca="1" si="29"/>
        <v/>
      </c>
      <c r="BJ41" s="28" t="str">
        <f t="shared" ca="1" si="29"/>
        <v/>
      </c>
      <c r="BK41" s="28" t="str">
        <f t="shared" ca="1" si="29"/>
        <v/>
      </c>
      <c r="BL41" s="28" t="str">
        <f t="shared" si="29"/>
        <v/>
      </c>
    </row>
    <row r="42" spans="1:64" s="1" customFormat="1" ht="30" customHeight="1" x14ac:dyDescent="0.3">
      <c r="A42" s="11"/>
      <c r="B42" s="53" t="s">
        <v>12</v>
      </c>
      <c r="C42" s="26" t="s">
        <v>24</v>
      </c>
      <c r="D42" s="26"/>
      <c r="E42" s="24">
        <f>E36+6</f>
        <v>45864</v>
      </c>
      <c r="F42" s="26">
        <v>1</v>
      </c>
      <c r="G42" s="25"/>
      <c r="H42" s="28"/>
      <c r="I42" s="28" t="str">
        <f ca="1">IF(AND($C42="Objetivo",I$5&gt;=$E42,I$5&lt;=$E42+$G42-1),2,IF(AND($C42="Hito",I$5&gt;=$E42,I$5&lt;=$E42+$G42-1),1,""))</f>
        <v/>
      </c>
      <c r="J42" s="28" t="str">
        <f ca="1">IF(AND($C42="Objetivo",J$5&gt;=$E42,J$5&lt;=$E42+$G42-1),2,IF(AND($C42="Hito",J$5&gt;=$E42,J$5&lt;=$E42+$G42-1),1,""))</f>
        <v/>
      </c>
      <c r="K42" s="28" t="str">
        <f ca="1">IF(AND($C42="Objetivo",K$5&gt;=$E42,K$5&lt;=$E42+$G42-1),2,IF(AND($C42="Hito",K$5&gt;=$E42,K$5&lt;=$E42+$G42-1),1,""))</f>
        <v/>
      </c>
      <c r="L42" s="28" t="str">
        <f ca="1">IF(AND($C42="Objetivo",L$5&gt;=$E42,L$5&lt;=$E42+$G42-1),2,IF(AND($C42="Hito",L$5&gt;=$E42,L$5&lt;=$E42+$G42-1),1,""))</f>
        <v/>
      </c>
      <c r="M42" s="28" t="str">
        <f ca="1">IF(AND($C42="Objetivo",M$5&gt;=$E42,M$5&lt;=$E42+$G42-1),2,IF(AND($C42="Hito",M$5&gt;=$E42,M$5&lt;=$E42+$G42-1),1,""))</f>
        <v/>
      </c>
      <c r="N42" s="28" t="str">
        <f ca="1">IF(AND($C42="Objetivo",N$5&gt;=$E42,N$5&lt;=$E42+$G42-1),2,IF(AND($C42="Hito",N$5&gt;=$E42,N$5&lt;=$E42+$G42-1),1,""))</f>
        <v/>
      </c>
      <c r="O42" s="28" t="str">
        <f ca="1">IF(AND($C42="Objetivo",O$5&gt;=$E42,O$5&lt;=$E42+$G42-1),2,IF(AND($C42="Hito",O$5&gt;=$E42,O$5&lt;=$E42+$G42-1),1,""))</f>
        <v/>
      </c>
      <c r="P42" s="28" t="str">
        <f ca="1">IF(AND($C42="Objetivo",P$5&gt;=$E42,P$5&lt;=$E42+$G42-1),2,IF(AND($C42="Hito",P$5&gt;=$E42,P$5&lt;=$E42+$G42-1),1,""))</f>
        <v/>
      </c>
      <c r="Q42" s="28" t="str">
        <f ca="1">IF(AND($C42="Objetivo",Q$5&gt;=$E42,Q$5&lt;=$E42+$G42-1),2,IF(AND($C42="Hito",Q$5&gt;=$E42,Q$5&lt;=$E42+$G42-1),1,""))</f>
        <v/>
      </c>
      <c r="R42" s="28" t="str">
        <f ca="1">IF(AND($C42="Objetivo",R$5&gt;=$E42,R$5&lt;=$E42+$G42-1),2,IF(AND($C42="Hito",R$5&gt;=$E42,R$5&lt;=$E42+$G42-1),1,""))</f>
        <v/>
      </c>
      <c r="S42" s="28" t="str">
        <f ca="1">IF(AND($C42="Objetivo",S$5&gt;=$E42,S$5&lt;=$E42+$G42-1),2,IF(AND($C42="Hito",S$5&gt;=$E42,S$5&lt;=$E42+$G42-1),1,""))</f>
        <v/>
      </c>
      <c r="T42" s="28" t="str">
        <f ca="1">IF(AND($C42="Objetivo",T$5&gt;=$E42,T$5&lt;=$E42+$G42-1),2,IF(AND($C42="Hito",T$5&gt;=$E42,T$5&lt;=$E42+$G42-1),1,""))</f>
        <v/>
      </c>
      <c r="U42" s="28" t="str">
        <f ca="1">IF(AND($C42="Objetivo",U$5&gt;=$E42,U$5&lt;=$E42+$G42-1),2,IF(AND($C42="Hito",U$5&gt;=$E42,U$5&lt;=$E42+$G42-1),1,""))</f>
        <v/>
      </c>
      <c r="V42" s="28" t="str">
        <f ca="1">IF(AND($C42="Objetivo",V$5&gt;=$E42,V$5&lt;=$E42+$G42-1),2,IF(AND($C42="Hito",V$5&gt;=$E42,V$5&lt;=$E42+$G42-1),1,""))</f>
        <v/>
      </c>
      <c r="W42" s="28" t="str">
        <f ca="1">IF(AND($C42="Objetivo",W$5&gt;=$E42,W$5&lt;=$E42+$G42-1),2,IF(AND($C42="Hito",W$5&gt;=$E42,W$5&lt;=$E42+$G42-1),1,""))</f>
        <v/>
      </c>
      <c r="X42" s="28" t="str">
        <f ca="1">IF(AND($C42="Objetivo",X$5&gt;=$E42,X$5&lt;=$E42+$G42-1),2,IF(AND($C42="Hito",X$5&gt;=$E42,X$5&lt;=$E42+$G42-1),1,""))</f>
        <v/>
      </c>
      <c r="Y42" s="28" t="str">
        <f ca="1">IF(AND($C42="Objetivo",Y$5&gt;=$E42,Y$5&lt;=$E42+$G42-1),2,IF(AND($C42="Hito",Y$5&gt;=$E42,Y$5&lt;=$E42+$G42-1),1,""))</f>
        <v/>
      </c>
      <c r="Z42" s="28" t="str">
        <f ca="1">IF(AND($C42="Objetivo",Z$5&gt;=$E42,Z$5&lt;=$E42+$G42-1),2,IF(AND($C42="Hito",Z$5&gt;=$E42,Z$5&lt;=$E42+$G42-1),1,""))</f>
        <v/>
      </c>
      <c r="AA42" s="28" t="str">
        <f ca="1">IF(AND($C42="Objetivo",AA$5&gt;=$E42,AA$5&lt;=$E42+$G42-1),2,IF(AND($C42="Hito",AA$5&gt;=$E42,AA$5&lt;=$E42+$G42-1),1,""))</f>
        <v/>
      </c>
      <c r="AB42" s="28" t="str">
        <f ca="1">IF(AND($C42="Objetivo",AB$5&gt;=$E42,AB$5&lt;=$E42+$G42-1),2,IF(AND($C42="Hito",AB$5&gt;=$E42,AB$5&lt;=$E42+$G42-1),1,""))</f>
        <v/>
      </c>
      <c r="AC42" s="28" t="str">
        <f ca="1">IF(AND($C42="Objetivo",AC$5&gt;=$E42,AC$5&lt;=$E42+$G42-1),2,IF(AND($C42="Hito",AC$5&gt;=$E42,AC$5&lt;=$E42+$G42-1),1,""))</f>
        <v/>
      </c>
      <c r="AD42" s="28" t="str">
        <f ca="1">IF(AND($C42="Objetivo",AD$5&gt;=$E42,AD$5&lt;=$E42+$G42-1),2,IF(AND($C42="Hito",AD$5&gt;=$E42,AD$5&lt;=$E42+$G42-1),1,""))</f>
        <v/>
      </c>
      <c r="AE42" s="28" t="str">
        <f ca="1">IF(AND($C42="Objetivo",AE$5&gt;=$E42,AE$5&lt;=$E42+$G42-1),2,IF(AND($C42="Hito",AE$5&gt;=$E42,AE$5&lt;=$E42+$G42-1),1,""))</f>
        <v/>
      </c>
      <c r="AF42" s="28" t="str">
        <f ca="1">IF(AND($C42="Objetivo",AF$5&gt;=$E42,AF$5&lt;=$E42+$G42-1),2,IF(AND($C42="Hito",AF$5&gt;=$E42,AF$5&lt;=$E42+$G42-1),1,""))</f>
        <v/>
      </c>
      <c r="AG42" s="28" t="str">
        <f ca="1">IF(AND($C42="Objetivo",AG$5&gt;=$E42,AG$5&lt;=$E42+$G42-1),2,IF(AND($C42="Hito",AG$5&gt;=$E42,AG$5&lt;=$E42+$G42-1),1,""))</f>
        <v/>
      </c>
      <c r="AH42" s="28" t="str">
        <f ca="1">IF(AND($C42="Objetivo",AH$5&gt;=$E42,AH$5&lt;=$E42+$G42-1),2,IF(AND($C42="Hito",AH$5&gt;=$E42,AH$5&lt;=$E42+$G42-1),1,""))</f>
        <v/>
      </c>
      <c r="AI42" s="28" t="str">
        <f ca="1">IF(AND($C42="Objetivo",AI$5&gt;=$E42,AI$5&lt;=$E42+$G42-1),2,IF(AND($C42="Hito",AI$5&gt;=$E42,AI$5&lt;=$E42+$G42-1),1,""))</f>
        <v/>
      </c>
      <c r="AJ42" s="28" t="str">
        <f ca="1">IF(AND($C42="Objetivo",AJ$5&gt;=$E42,AJ$5&lt;=$E42+$G42-1),2,IF(AND($C42="Hito",AJ$5&gt;=$E42,AJ$5&lt;=$E42+$G42-1),1,""))</f>
        <v/>
      </c>
      <c r="AK42" s="28" t="str">
        <f ca="1">IF(AND($C42="Objetivo",AK$5&gt;=$E42,AK$5&lt;=$E42+$G42-1),2,IF(AND($C42="Hito",AK$5&gt;=$E42,AK$5&lt;=$E42+$G42-1),1,""))</f>
        <v/>
      </c>
      <c r="AL42" s="28" t="str">
        <f ca="1">IF(AND($C42="Objetivo",AL$5&gt;=$E42,AL$5&lt;=$E42+$G42-1),2,IF(AND($C42="Hito",AL$5&gt;=$E42,AL$5&lt;=$E42+$G42-1),1,""))</f>
        <v/>
      </c>
      <c r="AM42" s="28" t="str">
        <f ca="1">IF(AND($C42="Objetivo",AM$5&gt;=$E42,AM$5&lt;=$E42+$G42-1),2,IF(AND($C42="Hito",AM$5&gt;=$E42,AM$5&lt;=$E42+$G42-1),1,""))</f>
        <v/>
      </c>
      <c r="AN42" s="28" t="str">
        <f ca="1">IF(AND($C42="Objetivo",AN$5&gt;=$E42,AN$5&lt;=$E42+$G42-1),2,IF(AND($C42="Hito",AN$5&gt;=$E42,AN$5&lt;=$E42+$G42-1),1,""))</f>
        <v/>
      </c>
      <c r="AO42" s="28" t="str">
        <f ca="1">IF(AND($C42="Objetivo",AO$5&gt;=$E42,AO$5&lt;=$E42+$G42-1),2,IF(AND($C42="Hito",AO$5&gt;=$E42,AO$5&lt;=$E42+$G42-1),1,""))</f>
        <v/>
      </c>
      <c r="AP42" s="28" t="str">
        <f ca="1">IF(AND($C42="Objetivo",AP$5&gt;=$E42,AP$5&lt;=$E42+$G42-1),2,IF(AND($C42="Hito",AP$5&gt;=$E42,AP$5&lt;=$E42+$G42-1),1,""))</f>
        <v/>
      </c>
      <c r="AQ42" s="28" t="str">
        <f ca="1">IF(AND($C42="Objetivo",AQ$5&gt;=$E42,AQ$5&lt;=$E42+$G42-1),2,IF(AND($C42="Hito",AQ$5&gt;=$E42,AQ$5&lt;=$E42+$G42-1),1,""))</f>
        <v/>
      </c>
      <c r="AR42" s="28" t="str">
        <f ca="1">IF(AND($C42="Objetivo",AR$5&gt;=$E42,AR$5&lt;=$E42+$G42-1),2,IF(AND($C42="Hito",AR$5&gt;=$E42,AR$5&lt;=$E42+$G42-1),1,""))</f>
        <v/>
      </c>
      <c r="AS42" s="28" t="str">
        <f ca="1">IF(AND($C42="Objetivo",AS$5&gt;=$E42,AS$5&lt;=$E42+$G42-1),2,IF(AND($C42="Hito",AS$5&gt;=$E42,AS$5&lt;=$E42+$G42-1),1,""))</f>
        <v/>
      </c>
      <c r="AT42" s="28" t="str">
        <f ca="1">IF(AND($C42="Objetivo",AT$5&gt;=$E42,AT$5&lt;=$E42+$G42-1),2,IF(AND($C42="Hito",AT$5&gt;=$E42,AT$5&lt;=$E42+$G42-1),1,""))</f>
        <v/>
      </c>
      <c r="AU42" s="28" t="str">
        <f ca="1">IF(AND($C42="Objetivo",AU$5&gt;=$E42,AU$5&lt;=$E42+$G42-1),2,IF(AND($C42="Hito",AU$5&gt;=$E42,AU$5&lt;=$E42+$G42-1),1,""))</f>
        <v/>
      </c>
      <c r="AV42" s="28" t="str">
        <f ca="1">IF(AND($C42="Objetivo",AV$5&gt;=$E42,AV$5&lt;=$E42+$G42-1),2,IF(AND($C42="Hito",AV$5&gt;=$E42,AV$5&lt;=$E42+$G42-1),1,""))</f>
        <v/>
      </c>
      <c r="AW42" s="28" t="str">
        <f ca="1">IF(AND($C42="Objetivo",AW$5&gt;=$E42,AW$5&lt;=$E42+$G42-1),2,IF(AND($C42="Hito",AW$5&gt;=$E42,AW$5&lt;=$E42+$G42-1),1,""))</f>
        <v/>
      </c>
      <c r="AX42" s="28" t="str">
        <f ca="1">IF(AND($C42="Objetivo",AX$5&gt;=$E42,AX$5&lt;=$E42+$G42-1),2,IF(AND($C42="Hito",AX$5&gt;=$E42,AX$5&lt;=$E42+$G42-1),1,""))</f>
        <v/>
      </c>
      <c r="AY42" s="28" t="str">
        <f ca="1">IF(AND($C42="Objetivo",AY$5&gt;=$E42,AY$5&lt;=$E42+$G42-1),2,IF(AND($C42="Hito",AY$5&gt;=$E42,AY$5&lt;=$E42+$G42-1),1,""))</f>
        <v/>
      </c>
      <c r="AZ42" s="28" t="str">
        <f ca="1">IF(AND($C42="Objetivo",AZ$5&gt;=$E42,AZ$5&lt;=$E42+$G42-1),2,IF(AND($C42="Hito",AZ$5&gt;=$E42,AZ$5&lt;=$E42+$G42-1),1,""))</f>
        <v/>
      </c>
      <c r="BA42" s="28" t="str">
        <f ca="1">IF(AND($C42="Objetivo",BA$5&gt;=$E42,BA$5&lt;=$E42+$G42-1),2,IF(AND($C42="Hito",BA$5&gt;=$E42,BA$5&lt;=$E42+$G42-1),1,""))</f>
        <v/>
      </c>
      <c r="BB42" s="28" t="str">
        <f ca="1">IF(AND($C42="Objetivo",BB$5&gt;=$E42,BB$5&lt;=$E42+$G42-1),2,IF(AND($C42="Hito",BB$5&gt;=$E42,BB$5&lt;=$E42+$G42-1),1,""))</f>
        <v/>
      </c>
      <c r="BC42" s="28" t="str">
        <f ca="1">IF(AND($C42="Objetivo",BC$5&gt;=$E42,BC$5&lt;=$E42+$G42-1),2,IF(AND($C42="Hito",BC$5&gt;=$E42,BC$5&lt;=$E42+$G42-1),1,""))</f>
        <v/>
      </c>
      <c r="BD42" s="28" t="str">
        <f ca="1">IF(AND($C42="Objetivo",BD$5&gt;=$E42,BD$5&lt;=$E42+$G42-1),2,IF(AND($C42="Hito",BD$5&gt;=$E42,BD$5&lt;=$E42+$G42-1),1,""))</f>
        <v/>
      </c>
      <c r="BE42" s="28" t="str">
        <f ca="1">IF(AND($C42="Objetivo",BE$5&gt;=$E42,BE$5&lt;=$E42+$G42-1),2,IF(AND($C42="Hito",BE$5&gt;=$E42,BE$5&lt;=$E42+$G42-1),1,""))</f>
        <v/>
      </c>
      <c r="BF42" s="28" t="str">
        <f ca="1">IF(AND($C42="Objetivo",BF$5&gt;=$E42,BF$5&lt;=$E42+$G42-1),2,IF(AND($C42="Hito",BF$5&gt;=$E42,BF$5&lt;=$E42+$G42-1),1,""))</f>
        <v/>
      </c>
      <c r="BG42" s="28" t="str">
        <f ca="1">IF(AND($C42="Objetivo",BG$5&gt;=$E42,BG$5&lt;=$E42+$G42-1),2,IF(AND($C42="Hito",BG$5&gt;=$E42,BG$5&lt;=$E42+$G42-1),1,""))</f>
        <v/>
      </c>
      <c r="BH42" s="28" t="str">
        <f ca="1">IF(AND($C42="Objetivo",BH$5&gt;=$E42,BH$5&lt;=$E42+$G42-1),2,IF(AND($C42="Hito",BH$5&gt;=$E42,BH$5&lt;=$E42+$G42-1),1,""))</f>
        <v/>
      </c>
      <c r="BI42" s="28" t="str">
        <f ca="1">IF(AND($C42="Objetivo",BI$5&gt;=$E42,BI$5&lt;=$E42+$G42-1),2,IF(AND($C42="Hito",BI$5&gt;=$E42,BI$5&lt;=$E42+$G42-1),1,""))</f>
        <v/>
      </c>
      <c r="BJ42" s="28" t="str">
        <f ca="1">IF(AND($C42="Objetivo",BJ$5&gt;=$E42,BJ$5&lt;=$E42+$G42-1),2,IF(AND($C42="Hito",BJ$5&gt;=$E42,BJ$5&lt;=$E42+$G42-1),1,""))</f>
        <v/>
      </c>
      <c r="BK42" s="28" t="str">
        <f ca="1">IF(AND($C42="Objetivo",BK$5&gt;=$E42,BK$5&lt;=$E42+$G42-1),2,IF(AND($C42="Hito",BK$5&gt;=$E42,BK$5&lt;=$E42+$G42-1),1,""))</f>
        <v/>
      </c>
      <c r="BL42" s="28" t="str">
        <f>IF(AND($C42="Objetivo",BL$5&gt;=$E42,BL$5&lt;=$E42+$G42-1),2,IF(AND($C42="Hito",BL$5&gt;=$E42,BL$5&lt;=$E42+$G42-1),1,""))</f>
        <v/>
      </c>
    </row>
    <row r="43" spans="1:64" s="1" customFormat="1" ht="30" customHeight="1" x14ac:dyDescent="0.3">
      <c r="A43" s="10"/>
      <c r="B43" s="53" t="s">
        <v>13</v>
      </c>
      <c r="C43" s="26" t="s">
        <v>24</v>
      </c>
      <c r="D43" s="26"/>
      <c r="E43" s="24">
        <f>E42+2</f>
        <v>45866</v>
      </c>
      <c r="G43" s="25"/>
      <c r="H43" s="28"/>
      <c r="I43" s="28" t="str">
        <f ca="1">IF(AND($C43="Objetivo",I$5&gt;=$E43,I$5&lt;=$E43+$G43-1),2,IF(AND($C43="Hito",I$5&gt;=$E43,I$5&lt;=$E43+$G43-1),1,""))</f>
        <v/>
      </c>
      <c r="J43" s="28" t="str">
        <f ca="1">IF(AND($C43="Objetivo",J$5&gt;=$E43,J$5&lt;=$E43+$G43-1),2,IF(AND($C43="Hito",J$5&gt;=$E43,J$5&lt;=$E43+$G43-1),1,""))</f>
        <v/>
      </c>
      <c r="K43" s="28" t="str">
        <f ca="1">IF(AND($C43="Objetivo",K$5&gt;=$E43,K$5&lt;=$E43+$G43-1),2,IF(AND($C43="Hito",K$5&gt;=$E43,K$5&lt;=$E43+$G43-1),1,""))</f>
        <v/>
      </c>
      <c r="L43" s="28" t="str">
        <f ca="1">IF(AND($C43="Objetivo",L$5&gt;=$E43,L$5&lt;=$E43+$G43-1),2,IF(AND($C43="Hito",L$5&gt;=$E43,L$5&lt;=$E43+$G43-1),1,""))</f>
        <v/>
      </c>
      <c r="M43" s="28" t="str">
        <f ca="1">IF(AND($C43="Objetivo",M$5&gt;=$E43,M$5&lt;=$E43+$G43-1),2,IF(AND($C43="Hito",M$5&gt;=$E43,M$5&lt;=$E43+$G43-1),1,""))</f>
        <v/>
      </c>
      <c r="N43" s="28" t="str">
        <f ca="1">IF(AND($C43="Objetivo",N$5&gt;=$E43,N$5&lt;=$E43+$G43-1),2,IF(AND($C43="Hito",N$5&gt;=$E43,N$5&lt;=$E43+$G43-1),1,""))</f>
        <v/>
      </c>
      <c r="O43" s="28" t="str">
        <f ca="1">IF(AND($C43="Objetivo",O$5&gt;=$E43,O$5&lt;=$E43+$G43-1),2,IF(AND($C43="Hito",O$5&gt;=$E43,O$5&lt;=$E43+$G43-1),1,""))</f>
        <v/>
      </c>
      <c r="P43" s="28" t="str">
        <f ca="1">IF(AND($C43="Objetivo",P$5&gt;=$E43,P$5&lt;=$E43+$G43-1),2,IF(AND($C43="Hito",P$5&gt;=$E43,P$5&lt;=$E43+$G43-1),1,""))</f>
        <v/>
      </c>
      <c r="Q43" s="28" t="str">
        <f ca="1">IF(AND($C43="Objetivo",Q$5&gt;=$E43,Q$5&lt;=$E43+$G43-1),2,IF(AND($C43="Hito",Q$5&gt;=$E43,Q$5&lt;=$E43+$G43-1),1,""))</f>
        <v/>
      </c>
      <c r="R43" s="28" t="str">
        <f ca="1">IF(AND($C43="Objetivo",R$5&gt;=$E43,R$5&lt;=$E43+$G43-1),2,IF(AND($C43="Hito",R$5&gt;=$E43,R$5&lt;=$E43+$G43-1),1,""))</f>
        <v/>
      </c>
      <c r="S43" s="28" t="str">
        <f ca="1">IF(AND($C43="Objetivo",S$5&gt;=$E43,S$5&lt;=$E43+$G43-1),2,IF(AND($C43="Hito",S$5&gt;=$E43,S$5&lt;=$E43+$G43-1),1,""))</f>
        <v/>
      </c>
      <c r="T43" s="28" t="str">
        <f ca="1">IF(AND($C43="Objetivo",T$5&gt;=$E43,T$5&lt;=$E43+$G43-1),2,IF(AND($C43="Hito",T$5&gt;=$E43,T$5&lt;=$E43+$G43-1),1,""))</f>
        <v/>
      </c>
      <c r="U43" s="28" t="str">
        <f ca="1">IF(AND($C43="Objetivo",U$5&gt;=$E43,U$5&lt;=$E43+$G43-1),2,IF(AND($C43="Hito",U$5&gt;=$E43,U$5&lt;=$E43+$G43-1),1,""))</f>
        <v/>
      </c>
      <c r="V43" s="28" t="str">
        <f ca="1">IF(AND($C43="Objetivo",V$5&gt;=$E43,V$5&lt;=$E43+$G43-1),2,IF(AND($C43="Hito",V$5&gt;=$E43,V$5&lt;=$E43+$G43-1),1,""))</f>
        <v/>
      </c>
      <c r="W43" s="28" t="str">
        <f ca="1">IF(AND($C43="Objetivo",W$5&gt;=$E43,W$5&lt;=$E43+$G43-1),2,IF(AND($C43="Hito",W$5&gt;=$E43,W$5&lt;=$E43+$G43-1),1,""))</f>
        <v/>
      </c>
      <c r="X43" s="28" t="str">
        <f ca="1">IF(AND($C43="Objetivo",X$5&gt;=$E43,X$5&lt;=$E43+$G43-1),2,IF(AND($C43="Hito",X$5&gt;=$E43,X$5&lt;=$E43+$G43-1),1,""))</f>
        <v/>
      </c>
      <c r="Y43" s="28" t="str">
        <f ca="1">IF(AND($C43="Objetivo",Y$5&gt;=$E43,Y$5&lt;=$E43+$G43-1),2,IF(AND($C43="Hito",Y$5&gt;=$E43,Y$5&lt;=$E43+$G43-1),1,""))</f>
        <v/>
      </c>
      <c r="Z43" s="28" t="str">
        <f ca="1">IF(AND($C43="Objetivo",Z$5&gt;=$E43,Z$5&lt;=$E43+$G43-1),2,IF(AND($C43="Hito",Z$5&gt;=$E43,Z$5&lt;=$E43+$G43-1),1,""))</f>
        <v/>
      </c>
      <c r="AA43" s="28" t="str">
        <f ca="1">IF(AND($C43="Objetivo",AA$5&gt;=$E43,AA$5&lt;=$E43+$G43-1),2,IF(AND($C43="Hito",AA$5&gt;=$E43,AA$5&lt;=$E43+$G43-1),1,""))</f>
        <v/>
      </c>
      <c r="AB43" s="28" t="str">
        <f ca="1">IF(AND($C43="Objetivo",AB$5&gt;=$E43,AB$5&lt;=$E43+$G43-1),2,IF(AND($C43="Hito",AB$5&gt;=$E43,AB$5&lt;=$E43+$G43-1),1,""))</f>
        <v/>
      </c>
      <c r="AC43" s="28" t="str">
        <f ca="1">IF(AND($C43="Objetivo",AC$5&gt;=$E43,AC$5&lt;=$E43+$G43-1),2,IF(AND($C43="Hito",AC$5&gt;=$E43,AC$5&lt;=$E43+$G43-1),1,""))</f>
        <v/>
      </c>
      <c r="AD43" s="28" t="str">
        <f ca="1">IF(AND($C43="Objetivo",AD$5&gt;=$E43,AD$5&lt;=$E43+$G43-1),2,IF(AND($C43="Hito",AD$5&gt;=$E43,AD$5&lt;=$E43+$G43-1),1,""))</f>
        <v/>
      </c>
      <c r="AE43" s="28" t="str">
        <f ca="1">IF(AND($C43="Objetivo",AE$5&gt;=$E43,AE$5&lt;=$E43+$G43-1),2,IF(AND($C43="Hito",AE$5&gt;=$E43,AE$5&lt;=$E43+$G43-1),1,""))</f>
        <v/>
      </c>
      <c r="AF43" s="28" t="str">
        <f ca="1">IF(AND($C43="Objetivo",AF$5&gt;=$E43,AF$5&lt;=$E43+$G43-1),2,IF(AND($C43="Hito",AF$5&gt;=$E43,AF$5&lt;=$E43+$G43-1),1,""))</f>
        <v/>
      </c>
      <c r="AG43" s="28" t="str">
        <f ca="1">IF(AND($C43="Objetivo",AG$5&gt;=$E43,AG$5&lt;=$E43+$G43-1),2,IF(AND($C43="Hito",AG$5&gt;=$E43,AG$5&lt;=$E43+$G43-1),1,""))</f>
        <v/>
      </c>
      <c r="AH43" s="28" t="str">
        <f ca="1">IF(AND($C43="Objetivo",AH$5&gt;=$E43,AH$5&lt;=$E43+$G43-1),2,IF(AND($C43="Hito",AH$5&gt;=$E43,AH$5&lt;=$E43+$G43-1),1,""))</f>
        <v/>
      </c>
      <c r="AI43" s="28" t="str">
        <f ca="1">IF(AND($C43="Objetivo",AI$5&gt;=$E43,AI$5&lt;=$E43+$G43-1),2,IF(AND($C43="Hito",AI$5&gt;=$E43,AI$5&lt;=$E43+$G43-1),1,""))</f>
        <v/>
      </c>
      <c r="AJ43" s="28" t="str">
        <f ca="1">IF(AND($C43="Objetivo",AJ$5&gt;=$E43,AJ$5&lt;=$E43+$G43-1),2,IF(AND($C43="Hito",AJ$5&gt;=$E43,AJ$5&lt;=$E43+$G43-1),1,""))</f>
        <v/>
      </c>
      <c r="AK43" s="28" t="str">
        <f ca="1">IF(AND($C43="Objetivo",AK$5&gt;=$E43,AK$5&lt;=$E43+$G43-1),2,IF(AND($C43="Hito",AK$5&gt;=$E43,AK$5&lt;=$E43+$G43-1),1,""))</f>
        <v/>
      </c>
      <c r="AL43" s="28" t="str">
        <f ca="1">IF(AND($C43="Objetivo",AL$5&gt;=$E43,AL$5&lt;=$E43+$G43-1),2,IF(AND($C43="Hito",AL$5&gt;=$E43,AL$5&lt;=$E43+$G43-1),1,""))</f>
        <v/>
      </c>
      <c r="AM43" s="28" t="str">
        <f ca="1">IF(AND($C43="Objetivo",AM$5&gt;=$E43,AM$5&lt;=$E43+$G43-1),2,IF(AND($C43="Hito",AM$5&gt;=$E43,AM$5&lt;=$E43+$G43-1),1,""))</f>
        <v/>
      </c>
      <c r="AN43" s="28" t="str">
        <f ca="1">IF(AND($C43="Objetivo",AN$5&gt;=$E43,AN$5&lt;=$E43+$G43-1),2,IF(AND($C43="Hito",AN$5&gt;=$E43,AN$5&lt;=$E43+$G43-1),1,""))</f>
        <v/>
      </c>
      <c r="AO43" s="28" t="str">
        <f ca="1">IF(AND($C43="Objetivo",AO$5&gt;=$E43,AO$5&lt;=$E43+$G43-1),2,IF(AND($C43="Hito",AO$5&gt;=$E43,AO$5&lt;=$E43+$G43-1),1,""))</f>
        <v/>
      </c>
      <c r="AP43" s="28" t="str">
        <f ca="1">IF(AND($C43="Objetivo",AP$5&gt;=$E43,AP$5&lt;=$E43+$G43-1),2,IF(AND($C43="Hito",AP$5&gt;=$E43,AP$5&lt;=$E43+$G43-1),1,""))</f>
        <v/>
      </c>
      <c r="AQ43" s="28" t="str">
        <f ca="1">IF(AND($C43="Objetivo",AQ$5&gt;=$E43,AQ$5&lt;=$E43+$G43-1),2,IF(AND($C43="Hito",AQ$5&gt;=$E43,AQ$5&lt;=$E43+$G43-1),1,""))</f>
        <v/>
      </c>
      <c r="AR43" s="28" t="str">
        <f ca="1">IF(AND($C43="Objetivo",AR$5&gt;=$E43,AR$5&lt;=$E43+$G43-1),2,IF(AND($C43="Hito",AR$5&gt;=$E43,AR$5&lt;=$E43+$G43-1),1,""))</f>
        <v/>
      </c>
      <c r="AS43" s="28" t="str">
        <f ca="1">IF(AND($C43="Objetivo",AS$5&gt;=$E43,AS$5&lt;=$E43+$G43-1),2,IF(AND($C43="Hito",AS$5&gt;=$E43,AS$5&lt;=$E43+$G43-1),1,""))</f>
        <v/>
      </c>
      <c r="AT43" s="28" t="str">
        <f ca="1">IF(AND($C43="Objetivo",AT$5&gt;=$E43,AT$5&lt;=$E43+$G43-1),2,IF(AND($C43="Hito",AT$5&gt;=$E43,AT$5&lt;=$E43+$G43-1),1,""))</f>
        <v/>
      </c>
      <c r="AU43" s="28" t="str">
        <f ca="1">IF(AND($C43="Objetivo",AU$5&gt;=$E43,AU$5&lt;=$E43+$G43-1),2,IF(AND($C43="Hito",AU$5&gt;=$E43,AU$5&lt;=$E43+$G43-1),1,""))</f>
        <v/>
      </c>
      <c r="AV43" s="28" t="str">
        <f ca="1">IF(AND($C43="Objetivo",AV$5&gt;=$E43,AV$5&lt;=$E43+$G43-1),2,IF(AND($C43="Hito",AV$5&gt;=$E43,AV$5&lt;=$E43+$G43-1),1,""))</f>
        <v/>
      </c>
      <c r="AW43" s="28" t="str">
        <f ca="1">IF(AND($C43="Objetivo",AW$5&gt;=$E43,AW$5&lt;=$E43+$G43-1),2,IF(AND($C43="Hito",AW$5&gt;=$E43,AW$5&lt;=$E43+$G43-1),1,""))</f>
        <v/>
      </c>
      <c r="AX43" s="28" t="str">
        <f ca="1">IF(AND($C43="Objetivo",AX$5&gt;=$E43,AX$5&lt;=$E43+$G43-1),2,IF(AND($C43="Hito",AX$5&gt;=$E43,AX$5&lt;=$E43+$G43-1),1,""))</f>
        <v/>
      </c>
      <c r="AY43" s="28" t="str">
        <f ca="1">IF(AND($C43="Objetivo",AY$5&gt;=$E43,AY$5&lt;=$E43+$G43-1),2,IF(AND($C43="Hito",AY$5&gt;=$E43,AY$5&lt;=$E43+$G43-1),1,""))</f>
        <v/>
      </c>
      <c r="AZ43" s="28" t="str">
        <f ca="1">IF(AND($C43="Objetivo",AZ$5&gt;=$E43,AZ$5&lt;=$E43+$G43-1),2,IF(AND($C43="Hito",AZ$5&gt;=$E43,AZ$5&lt;=$E43+$G43-1),1,""))</f>
        <v/>
      </c>
      <c r="BA43" s="28" t="str">
        <f ca="1">IF(AND($C43="Objetivo",BA$5&gt;=$E43,BA$5&lt;=$E43+$G43-1),2,IF(AND($C43="Hito",BA$5&gt;=$E43,BA$5&lt;=$E43+$G43-1),1,""))</f>
        <v/>
      </c>
      <c r="BB43" s="28" t="str">
        <f ca="1">IF(AND($C43="Objetivo",BB$5&gt;=$E43,BB$5&lt;=$E43+$G43-1),2,IF(AND($C43="Hito",BB$5&gt;=$E43,BB$5&lt;=$E43+$G43-1),1,""))</f>
        <v/>
      </c>
      <c r="BC43" s="28" t="str">
        <f ca="1">IF(AND($C43="Objetivo",BC$5&gt;=$E43,BC$5&lt;=$E43+$G43-1),2,IF(AND($C43="Hito",BC$5&gt;=$E43,BC$5&lt;=$E43+$G43-1),1,""))</f>
        <v/>
      </c>
      <c r="BD43" s="28" t="str">
        <f ca="1">IF(AND($C43="Objetivo",BD$5&gt;=$E43,BD$5&lt;=$E43+$G43-1),2,IF(AND($C43="Hito",BD$5&gt;=$E43,BD$5&lt;=$E43+$G43-1),1,""))</f>
        <v/>
      </c>
      <c r="BE43" s="28" t="str">
        <f ca="1">IF(AND($C43="Objetivo",BE$5&gt;=$E43,BE$5&lt;=$E43+$G43-1),2,IF(AND($C43="Hito",BE$5&gt;=$E43,BE$5&lt;=$E43+$G43-1),1,""))</f>
        <v/>
      </c>
      <c r="BF43" s="28" t="str">
        <f ca="1">IF(AND($C43="Objetivo",BF$5&gt;=$E43,BF$5&lt;=$E43+$G43-1),2,IF(AND($C43="Hito",BF$5&gt;=$E43,BF$5&lt;=$E43+$G43-1),1,""))</f>
        <v/>
      </c>
      <c r="BG43" s="28" t="str">
        <f ca="1">IF(AND($C43="Objetivo",BG$5&gt;=$E43,BG$5&lt;=$E43+$G43-1),2,IF(AND($C43="Hito",BG$5&gt;=$E43,BG$5&lt;=$E43+$G43-1),1,""))</f>
        <v/>
      </c>
      <c r="BH43" s="28" t="str">
        <f ca="1">IF(AND($C43="Objetivo",BH$5&gt;=$E43,BH$5&lt;=$E43+$G43-1),2,IF(AND($C43="Hito",BH$5&gt;=$E43,BH$5&lt;=$E43+$G43-1),1,""))</f>
        <v/>
      </c>
      <c r="BI43" s="28" t="str">
        <f ca="1">IF(AND($C43="Objetivo",BI$5&gt;=$E43,BI$5&lt;=$E43+$G43-1),2,IF(AND($C43="Hito",BI$5&gt;=$E43,BI$5&lt;=$E43+$G43-1),1,""))</f>
        <v/>
      </c>
      <c r="BJ43" s="28" t="str">
        <f ca="1">IF(AND($C43="Objetivo",BJ$5&gt;=$E43,BJ$5&lt;=$E43+$G43-1),2,IF(AND($C43="Hito",BJ$5&gt;=$E43,BJ$5&lt;=$E43+$G43-1),1,""))</f>
        <v/>
      </c>
      <c r="BK43" s="28" t="str">
        <f ca="1">IF(AND($C43="Objetivo",BK$5&gt;=$E43,BK$5&lt;=$E43+$G43-1),2,IF(AND($C43="Hito",BK$5&gt;=$E43,BK$5&lt;=$E43+$G43-1),1,""))</f>
        <v/>
      </c>
      <c r="BL43" s="28" t="str">
        <f>IF(AND($C43="Objetivo",BL$5&gt;=$E43,BL$5&lt;=$E43+$G43-1),2,IF(AND($C43="Hito",BL$5&gt;=$E43,BL$5&lt;=$E43+$G43-1),1,""))</f>
        <v/>
      </c>
    </row>
    <row r="44" spans="1:64" s="1" customFormat="1" ht="30" customHeight="1" x14ac:dyDescent="0.3">
      <c r="A44" s="10"/>
      <c r="B44" s="53" t="s">
        <v>14</v>
      </c>
      <c r="C44" s="26" t="s">
        <v>21</v>
      </c>
      <c r="D44" s="26"/>
      <c r="E44" s="24">
        <f>E43+5</f>
        <v>45871</v>
      </c>
      <c r="G44" s="25"/>
      <c r="H44" s="28"/>
      <c r="I44" s="28" t="str">
        <f ca="1">IF(AND($C44="Objetivo",I$5&gt;=$E44,I$5&lt;=$E44+$G44-1),2,IF(AND($C44="Hito",I$5&gt;=$E44,I$5&lt;=$E44+$G44-1),1,""))</f>
        <v/>
      </c>
      <c r="J44" s="28" t="str">
        <f ca="1">IF(AND($C44="Objetivo",J$5&gt;=$E44,J$5&lt;=$E44+$G44-1),2,IF(AND($C44="Hito",J$5&gt;=$E44,J$5&lt;=$E44+$G44-1),1,""))</f>
        <v/>
      </c>
      <c r="K44" s="28" t="str">
        <f ca="1">IF(AND($C44="Objetivo",K$5&gt;=$E44,K$5&lt;=$E44+$G44-1),2,IF(AND($C44="Hito",K$5&gt;=$E44,K$5&lt;=$E44+$G44-1),1,""))</f>
        <v/>
      </c>
      <c r="L44" s="28" t="str">
        <f ca="1">IF(AND($C44="Objetivo",L$5&gt;=$E44,L$5&lt;=$E44+$G44-1),2,IF(AND($C44="Hito",L$5&gt;=$E44,L$5&lt;=$E44+$G44-1),1,""))</f>
        <v/>
      </c>
      <c r="M44" s="28" t="str">
        <f ca="1">IF(AND($C44="Objetivo",M$5&gt;=$E44,M$5&lt;=$E44+$G44-1),2,IF(AND($C44="Hito",M$5&gt;=$E44,M$5&lt;=$E44+$G44-1),1,""))</f>
        <v/>
      </c>
      <c r="N44" s="28" t="str">
        <f ca="1">IF(AND($C44="Objetivo",N$5&gt;=$E44,N$5&lt;=$E44+$G44-1),2,IF(AND($C44="Hito",N$5&gt;=$E44,N$5&lt;=$E44+$G44-1),1,""))</f>
        <v/>
      </c>
      <c r="O44" s="28" t="str">
        <f ca="1">IF(AND($C44="Objetivo",O$5&gt;=$E44,O$5&lt;=$E44+$G44-1),2,IF(AND($C44="Hito",O$5&gt;=$E44,O$5&lt;=$E44+$G44-1),1,""))</f>
        <v/>
      </c>
      <c r="P44" s="28" t="str">
        <f ca="1">IF(AND($C44="Objetivo",P$5&gt;=$E44,P$5&lt;=$E44+$G44-1),2,IF(AND($C44="Hito",P$5&gt;=$E44,P$5&lt;=$E44+$G44-1),1,""))</f>
        <v/>
      </c>
      <c r="Q44" s="28" t="str">
        <f ca="1">IF(AND($C44="Objetivo",Q$5&gt;=$E44,Q$5&lt;=$E44+$G44-1),2,IF(AND($C44="Hito",Q$5&gt;=$E44,Q$5&lt;=$E44+$G44-1),1,""))</f>
        <v/>
      </c>
      <c r="R44" s="28" t="str">
        <f ca="1">IF(AND($C44="Objetivo",R$5&gt;=$E44,R$5&lt;=$E44+$G44-1),2,IF(AND($C44="Hito",R$5&gt;=$E44,R$5&lt;=$E44+$G44-1),1,""))</f>
        <v/>
      </c>
      <c r="S44" s="28" t="str">
        <f ca="1">IF(AND($C44="Objetivo",S$5&gt;=$E44,S$5&lt;=$E44+$G44-1),2,IF(AND($C44="Hito",S$5&gt;=$E44,S$5&lt;=$E44+$G44-1),1,""))</f>
        <v/>
      </c>
      <c r="T44" s="28" t="str">
        <f ca="1">IF(AND($C44="Objetivo",T$5&gt;=$E44,T$5&lt;=$E44+$G44-1),2,IF(AND($C44="Hito",T$5&gt;=$E44,T$5&lt;=$E44+$G44-1),1,""))</f>
        <v/>
      </c>
      <c r="U44" s="28" t="str">
        <f ca="1">IF(AND($C44="Objetivo",U$5&gt;=$E44,U$5&lt;=$E44+$G44-1),2,IF(AND($C44="Hito",U$5&gt;=$E44,U$5&lt;=$E44+$G44-1),1,""))</f>
        <v/>
      </c>
      <c r="V44" s="28" t="str">
        <f ca="1">IF(AND($C44="Objetivo",V$5&gt;=$E44,V$5&lt;=$E44+$G44-1),2,IF(AND($C44="Hito",V$5&gt;=$E44,V$5&lt;=$E44+$G44-1),1,""))</f>
        <v/>
      </c>
      <c r="W44" s="28" t="str">
        <f ca="1">IF(AND($C44="Objetivo",W$5&gt;=$E44,W$5&lt;=$E44+$G44-1),2,IF(AND($C44="Hito",W$5&gt;=$E44,W$5&lt;=$E44+$G44-1),1,""))</f>
        <v/>
      </c>
      <c r="X44" s="28" t="str">
        <f ca="1">IF(AND($C44="Objetivo",X$5&gt;=$E44,X$5&lt;=$E44+$G44-1),2,IF(AND($C44="Hito",X$5&gt;=$E44,X$5&lt;=$E44+$G44-1),1,""))</f>
        <v/>
      </c>
      <c r="Y44" s="28" t="str">
        <f ca="1">IF(AND($C44="Objetivo",Y$5&gt;=$E44,Y$5&lt;=$E44+$G44-1),2,IF(AND($C44="Hito",Y$5&gt;=$E44,Y$5&lt;=$E44+$G44-1),1,""))</f>
        <v/>
      </c>
      <c r="Z44" s="28" t="str">
        <f ca="1">IF(AND($C44="Objetivo",Z$5&gt;=$E44,Z$5&lt;=$E44+$G44-1),2,IF(AND($C44="Hito",Z$5&gt;=$E44,Z$5&lt;=$E44+$G44-1),1,""))</f>
        <v/>
      </c>
      <c r="AA44" s="28" t="str">
        <f ca="1">IF(AND($C44="Objetivo",AA$5&gt;=$E44,AA$5&lt;=$E44+$G44-1),2,IF(AND($C44="Hito",AA$5&gt;=$E44,AA$5&lt;=$E44+$G44-1),1,""))</f>
        <v/>
      </c>
      <c r="AB44" s="28" t="str">
        <f ca="1">IF(AND($C44="Objetivo",AB$5&gt;=$E44,AB$5&lt;=$E44+$G44-1),2,IF(AND($C44="Hito",AB$5&gt;=$E44,AB$5&lt;=$E44+$G44-1),1,""))</f>
        <v/>
      </c>
      <c r="AC44" s="28" t="str">
        <f ca="1">IF(AND($C44="Objetivo",AC$5&gt;=$E44,AC$5&lt;=$E44+$G44-1),2,IF(AND($C44="Hito",AC$5&gt;=$E44,AC$5&lt;=$E44+$G44-1),1,""))</f>
        <v/>
      </c>
      <c r="AD44" s="28" t="str">
        <f ca="1">IF(AND($C44="Objetivo",AD$5&gt;=$E44,AD$5&lt;=$E44+$G44-1),2,IF(AND($C44="Hito",AD$5&gt;=$E44,AD$5&lt;=$E44+$G44-1),1,""))</f>
        <v/>
      </c>
      <c r="AE44" s="28" t="str">
        <f ca="1">IF(AND($C44="Objetivo",AE$5&gt;=$E44,AE$5&lt;=$E44+$G44-1),2,IF(AND($C44="Hito",AE$5&gt;=$E44,AE$5&lt;=$E44+$G44-1),1,""))</f>
        <v/>
      </c>
      <c r="AF44" s="28" t="str">
        <f ca="1">IF(AND($C44="Objetivo",AF$5&gt;=$E44,AF$5&lt;=$E44+$G44-1),2,IF(AND($C44="Hito",AF$5&gt;=$E44,AF$5&lt;=$E44+$G44-1),1,""))</f>
        <v/>
      </c>
      <c r="AG44" s="28" t="str">
        <f ca="1">IF(AND($C44="Objetivo",AG$5&gt;=$E44,AG$5&lt;=$E44+$G44-1),2,IF(AND($C44="Hito",AG$5&gt;=$E44,AG$5&lt;=$E44+$G44-1),1,""))</f>
        <v/>
      </c>
      <c r="AH44" s="28" t="str">
        <f ca="1">IF(AND($C44="Objetivo",AH$5&gt;=$E44,AH$5&lt;=$E44+$G44-1),2,IF(AND($C44="Hito",AH$5&gt;=$E44,AH$5&lt;=$E44+$G44-1),1,""))</f>
        <v/>
      </c>
      <c r="AI44" s="28" t="str">
        <f ca="1">IF(AND($C44="Objetivo",AI$5&gt;=$E44,AI$5&lt;=$E44+$G44-1),2,IF(AND($C44="Hito",AI$5&gt;=$E44,AI$5&lt;=$E44+$G44-1),1,""))</f>
        <v/>
      </c>
      <c r="AJ44" s="28" t="str">
        <f ca="1">IF(AND($C44="Objetivo",AJ$5&gt;=$E44,AJ$5&lt;=$E44+$G44-1),2,IF(AND($C44="Hito",AJ$5&gt;=$E44,AJ$5&lt;=$E44+$G44-1),1,""))</f>
        <v/>
      </c>
      <c r="AK44" s="28" t="str">
        <f ca="1">IF(AND($C44="Objetivo",AK$5&gt;=$E44,AK$5&lt;=$E44+$G44-1),2,IF(AND($C44="Hito",AK$5&gt;=$E44,AK$5&lt;=$E44+$G44-1),1,""))</f>
        <v/>
      </c>
      <c r="AL44" s="28" t="str">
        <f ca="1">IF(AND($C44="Objetivo",AL$5&gt;=$E44,AL$5&lt;=$E44+$G44-1),2,IF(AND($C44="Hito",AL$5&gt;=$E44,AL$5&lt;=$E44+$G44-1),1,""))</f>
        <v/>
      </c>
      <c r="AM44" s="28" t="str">
        <f ca="1">IF(AND($C44="Objetivo",AM$5&gt;=$E44,AM$5&lt;=$E44+$G44-1),2,IF(AND($C44="Hito",AM$5&gt;=$E44,AM$5&lt;=$E44+$G44-1),1,""))</f>
        <v/>
      </c>
      <c r="AN44" s="28" t="str">
        <f ca="1">IF(AND($C44="Objetivo",AN$5&gt;=$E44,AN$5&lt;=$E44+$G44-1),2,IF(AND($C44="Hito",AN$5&gt;=$E44,AN$5&lt;=$E44+$G44-1),1,""))</f>
        <v/>
      </c>
      <c r="AO44" s="28" t="str">
        <f ca="1">IF(AND($C44="Objetivo",AO$5&gt;=$E44,AO$5&lt;=$E44+$G44-1),2,IF(AND($C44="Hito",AO$5&gt;=$E44,AO$5&lt;=$E44+$G44-1),1,""))</f>
        <v/>
      </c>
      <c r="AP44" s="28" t="str">
        <f ca="1">IF(AND($C44="Objetivo",AP$5&gt;=$E44,AP$5&lt;=$E44+$G44-1),2,IF(AND($C44="Hito",AP$5&gt;=$E44,AP$5&lt;=$E44+$G44-1),1,""))</f>
        <v/>
      </c>
      <c r="AQ44" s="28" t="str">
        <f ca="1">IF(AND($C44="Objetivo",AQ$5&gt;=$E44,AQ$5&lt;=$E44+$G44-1),2,IF(AND($C44="Hito",AQ$5&gt;=$E44,AQ$5&lt;=$E44+$G44-1),1,""))</f>
        <v/>
      </c>
      <c r="AR44" s="28" t="str">
        <f ca="1">IF(AND($C44="Objetivo",AR$5&gt;=$E44,AR$5&lt;=$E44+$G44-1),2,IF(AND($C44="Hito",AR$5&gt;=$E44,AR$5&lt;=$E44+$G44-1),1,""))</f>
        <v/>
      </c>
      <c r="AS44" s="28" t="str">
        <f ca="1">IF(AND($C44="Objetivo",AS$5&gt;=$E44,AS$5&lt;=$E44+$G44-1),2,IF(AND($C44="Hito",AS$5&gt;=$E44,AS$5&lt;=$E44+$G44-1),1,""))</f>
        <v/>
      </c>
      <c r="AT44" s="28" t="str">
        <f ca="1">IF(AND($C44="Objetivo",AT$5&gt;=$E44,AT$5&lt;=$E44+$G44-1),2,IF(AND($C44="Hito",AT$5&gt;=$E44,AT$5&lt;=$E44+$G44-1),1,""))</f>
        <v/>
      </c>
      <c r="AU44" s="28" t="str">
        <f ca="1">IF(AND($C44="Objetivo",AU$5&gt;=$E44,AU$5&lt;=$E44+$G44-1),2,IF(AND($C44="Hito",AU$5&gt;=$E44,AU$5&lt;=$E44+$G44-1),1,""))</f>
        <v/>
      </c>
      <c r="AV44" s="28" t="str">
        <f ca="1">IF(AND($C44="Objetivo",AV$5&gt;=$E44,AV$5&lt;=$E44+$G44-1),2,IF(AND($C44="Hito",AV$5&gt;=$E44,AV$5&lt;=$E44+$G44-1),1,""))</f>
        <v/>
      </c>
      <c r="AW44" s="28" t="str">
        <f ca="1">IF(AND($C44="Objetivo",AW$5&gt;=$E44,AW$5&lt;=$E44+$G44-1),2,IF(AND($C44="Hito",AW$5&gt;=$E44,AW$5&lt;=$E44+$G44-1),1,""))</f>
        <v/>
      </c>
      <c r="AX44" s="28" t="str">
        <f ca="1">IF(AND($C44="Objetivo",AX$5&gt;=$E44,AX$5&lt;=$E44+$G44-1),2,IF(AND($C44="Hito",AX$5&gt;=$E44,AX$5&lt;=$E44+$G44-1),1,""))</f>
        <v/>
      </c>
      <c r="AY44" s="28" t="str">
        <f ca="1">IF(AND($C44="Objetivo",AY$5&gt;=$E44,AY$5&lt;=$E44+$G44-1),2,IF(AND($C44="Hito",AY$5&gt;=$E44,AY$5&lt;=$E44+$G44-1),1,""))</f>
        <v/>
      </c>
      <c r="AZ44" s="28" t="str">
        <f ca="1">IF(AND($C44="Objetivo",AZ$5&gt;=$E44,AZ$5&lt;=$E44+$G44-1),2,IF(AND($C44="Hito",AZ$5&gt;=$E44,AZ$5&lt;=$E44+$G44-1),1,""))</f>
        <v/>
      </c>
      <c r="BA44" s="28" t="str">
        <f ca="1">IF(AND($C44="Objetivo",BA$5&gt;=$E44,BA$5&lt;=$E44+$G44-1),2,IF(AND($C44="Hito",BA$5&gt;=$E44,BA$5&lt;=$E44+$G44-1),1,""))</f>
        <v/>
      </c>
      <c r="BB44" s="28" t="str">
        <f ca="1">IF(AND($C44="Objetivo",BB$5&gt;=$E44,BB$5&lt;=$E44+$G44-1),2,IF(AND($C44="Hito",BB$5&gt;=$E44,BB$5&lt;=$E44+$G44-1),1,""))</f>
        <v/>
      </c>
      <c r="BC44" s="28" t="str">
        <f ca="1">IF(AND($C44="Objetivo",BC$5&gt;=$E44,BC$5&lt;=$E44+$G44-1),2,IF(AND($C44="Hito",BC$5&gt;=$E44,BC$5&lt;=$E44+$G44-1),1,""))</f>
        <v/>
      </c>
      <c r="BD44" s="28" t="str">
        <f ca="1">IF(AND($C44="Objetivo",BD$5&gt;=$E44,BD$5&lt;=$E44+$G44-1),2,IF(AND($C44="Hito",BD$5&gt;=$E44,BD$5&lt;=$E44+$G44-1),1,""))</f>
        <v/>
      </c>
      <c r="BE44" s="28" t="str">
        <f ca="1">IF(AND($C44="Objetivo",BE$5&gt;=$E44,BE$5&lt;=$E44+$G44-1),2,IF(AND($C44="Hito",BE$5&gt;=$E44,BE$5&lt;=$E44+$G44-1),1,""))</f>
        <v/>
      </c>
      <c r="BF44" s="28" t="str">
        <f ca="1">IF(AND($C44="Objetivo",BF$5&gt;=$E44,BF$5&lt;=$E44+$G44-1),2,IF(AND($C44="Hito",BF$5&gt;=$E44,BF$5&lt;=$E44+$G44-1),1,""))</f>
        <v/>
      </c>
      <c r="BG44" s="28" t="str">
        <f ca="1">IF(AND($C44="Objetivo",BG$5&gt;=$E44,BG$5&lt;=$E44+$G44-1),2,IF(AND($C44="Hito",BG$5&gt;=$E44,BG$5&lt;=$E44+$G44-1),1,""))</f>
        <v/>
      </c>
      <c r="BH44" s="28" t="str">
        <f ca="1">IF(AND($C44="Objetivo",BH$5&gt;=$E44,BH$5&lt;=$E44+$G44-1),2,IF(AND($C44="Hito",BH$5&gt;=$E44,BH$5&lt;=$E44+$G44-1),1,""))</f>
        <v/>
      </c>
      <c r="BI44" s="28" t="str">
        <f ca="1">IF(AND($C44="Objetivo",BI$5&gt;=$E44,BI$5&lt;=$E44+$G44-1),2,IF(AND($C44="Hito",BI$5&gt;=$E44,BI$5&lt;=$E44+$G44-1),1,""))</f>
        <v/>
      </c>
      <c r="BJ44" s="28" t="str">
        <f ca="1">IF(AND($C44="Objetivo",BJ$5&gt;=$E44,BJ$5&lt;=$E44+$G44-1),2,IF(AND($C44="Hito",BJ$5&gt;=$E44,BJ$5&lt;=$E44+$G44-1),1,""))</f>
        <v/>
      </c>
      <c r="BK44" s="28" t="str">
        <f ca="1">IF(AND($C44="Objetivo",BK$5&gt;=$E44,BK$5&lt;=$E44+$G44-1),2,IF(AND($C44="Hito",BK$5&gt;=$E44,BK$5&lt;=$E44+$G44-1),1,""))</f>
        <v/>
      </c>
      <c r="BL44" s="28" t="str">
        <f>IF(AND($C44="Objetivo",BL$5&gt;=$E44,BL$5&lt;=$E44+$G44-1),2,IF(AND($C44="Hito",BL$5&gt;=$E44,BL$5&lt;=$E44+$G44-1),1,""))</f>
        <v/>
      </c>
    </row>
    <row r="45" spans="1:64" s="1" customFormat="1" ht="30" customHeight="1" x14ac:dyDescent="0.3">
      <c r="A45" s="10"/>
      <c r="B45" s="53" t="s">
        <v>15</v>
      </c>
      <c r="C45" s="26" t="s">
        <v>65</v>
      </c>
      <c r="D45" s="26"/>
      <c r="E45" s="24">
        <f>E44+2</f>
        <v>45873</v>
      </c>
      <c r="G45" s="25"/>
      <c r="H45" s="28"/>
      <c r="I45" s="28" t="str">
        <f ca="1">IF(AND($C45="Objetivo",I$5&gt;=$E45,I$5&lt;=$E45+$G45-1),2,IF(AND($C45="Hito",I$5&gt;=$E45,I$5&lt;=$E45+$G45-1),1,""))</f>
        <v/>
      </c>
      <c r="J45" s="28" t="str">
        <f ca="1">IF(AND($C45="Objetivo",J$5&gt;=$E45,J$5&lt;=$E45+$G45-1),2,IF(AND($C45="Hito",J$5&gt;=$E45,J$5&lt;=$E45+$G45-1),1,""))</f>
        <v/>
      </c>
      <c r="K45" s="28" t="str">
        <f ca="1">IF(AND($C45="Objetivo",K$5&gt;=$E45,K$5&lt;=$E45+$G45-1),2,IF(AND($C45="Hito",K$5&gt;=$E45,K$5&lt;=$E45+$G45-1),1,""))</f>
        <v/>
      </c>
      <c r="L45" s="28" t="str">
        <f ca="1">IF(AND($C45="Objetivo",L$5&gt;=$E45,L$5&lt;=$E45+$G45-1),2,IF(AND($C45="Hito",L$5&gt;=$E45,L$5&lt;=$E45+$G45-1),1,""))</f>
        <v/>
      </c>
      <c r="M45" s="28" t="str">
        <f ca="1">IF(AND($C45="Objetivo",M$5&gt;=$E45,M$5&lt;=$E45+$G45-1),2,IF(AND($C45="Hito",M$5&gt;=$E45,M$5&lt;=$E45+$G45-1),1,""))</f>
        <v/>
      </c>
      <c r="N45" s="28" t="str">
        <f ca="1">IF(AND($C45="Objetivo",N$5&gt;=$E45,N$5&lt;=$E45+$G45-1),2,IF(AND($C45="Hito",N$5&gt;=$E45,N$5&lt;=$E45+$G45-1),1,""))</f>
        <v/>
      </c>
      <c r="O45" s="28" t="str">
        <f ca="1">IF(AND($C45="Objetivo",O$5&gt;=$E45,O$5&lt;=$E45+$G45-1),2,IF(AND($C45="Hito",O$5&gt;=$E45,O$5&lt;=$E45+$G45-1),1,""))</f>
        <v/>
      </c>
      <c r="P45" s="28" t="str">
        <f ca="1">IF(AND($C45="Objetivo",P$5&gt;=$E45,P$5&lt;=$E45+$G45-1),2,IF(AND($C45="Hito",P$5&gt;=$E45,P$5&lt;=$E45+$G45-1),1,""))</f>
        <v/>
      </c>
      <c r="Q45" s="28" t="str">
        <f ca="1">IF(AND($C45="Objetivo",Q$5&gt;=$E45,Q$5&lt;=$E45+$G45-1),2,IF(AND($C45="Hito",Q$5&gt;=$E45,Q$5&lt;=$E45+$G45-1),1,""))</f>
        <v/>
      </c>
      <c r="R45" s="28" t="str">
        <f ca="1">IF(AND($C45="Objetivo",R$5&gt;=$E45,R$5&lt;=$E45+$G45-1),2,IF(AND($C45="Hito",R$5&gt;=$E45,R$5&lt;=$E45+$G45-1),1,""))</f>
        <v/>
      </c>
      <c r="S45" s="28" t="str">
        <f ca="1">IF(AND($C45="Objetivo",S$5&gt;=$E45,S$5&lt;=$E45+$G45-1),2,IF(AND($C45="Hito",S$5&gt;=$E45,S$5&lt;=$E45+$G45-1),1,""))</f>
        <v/>
      </c>
      <c r="T45" s="28" t="str">
        <f ca="1">IF(AND($C45="Objetivo",T$5&gt;=$E45,T$5&lt;=$E45+$G45-1),2,IF(AND($C45="Hito",T$5&gt;=$E45,T$5&lt;=$E45+$G45-1),1,""))</f>
        <v/>
      </c>
      <c r="U45" s="28" t="str">
        <f ca="1">IF(AND($C45="Objetivo",U$5&gt;=$E45,U$5&lt;=$E45+$G45-1),2,IF(AND($C45="Hito",U$5&gt;=$E45,U$5&lt;=$E45+$G45-1),1,""))</f>
        <v/>
      </c>
      <c r="V45" s="28" t="str">
        <f ca="1">IF(AND($C45="Objetivo",V$5&gt;=$E45,V$5&lt;=$E45+$G45-1),2,IF(AND($C45="Hito",V$5&gt;=$E45,V$5&lt;=$E45+$G45-1),1,""))</f>
        <v/>
      </c>
      <c r="W45" s="28" t="str">
        <f ca="1">IF(AND($C45="Objetivo",W$5&gt;=$E45,W$5&lt;=$E45+$G45-1),2,IF(AND($C45="Hito",W$5&gt;=$E45,W$5&lt;=$E45+$G45-1),1,""))</f>
        <v/>
      </c>
      <c r="X45" s="28" t="str">
        <f ca="1">IF(AND($C45="Objetivo",X$5&gt;=$E45,X$5&lt;=$E45+$G45-1),2,IF(AND($C45="Hito",X$5&gt;=$E45,X$5&lt;=$E45+$G45-1),1,""))</f>
        <v/>
      </c>
      <c r="Y45" s="28" t="str">
        <f ca="1">IF(AND($C45="Objetivo",Y$5&gt;=$E45,Y$5&lt;=$E45+$G45-1),2,IF(AND($C45="Hito",Y$5&gt;=$E45,Y$5&lt;=$E45+$G45-1),1,""))</f>
        <v/>
      </c>
      <c r="Z45" s="28" t="str">
        <f ca="1">IF(AND($C45="Objetivo",Z$5&gt;=$E45,Z$5&lt;=$E45+$G45-1),2,IF(AND($C45="Hito",Z$5&gt;=$E45,Z$5&lt;=$E45+$G45-1),1,""))</f>
        <v/>
      </c>
      <c r="AA45" s="28" t="str">
        <f ca="1">IF(AND($C45="Objetivo",AA$5&gt;=$E45,AA$5&lt;=$E45+$G45-1),2,IF(AND($C45="Hito",AA$5&gt;=$E45,AA$5&lt;=$E45+$G45-1),1,""))</f>
        <v/>
      </c>
      <c r="AB45" s="28" t="str">
        <f ca="1">IF(AND($C45="Objetivo",AB$5&gt;=$E45,AB$5&lt;=$E45+$G45-1),2,IF(AND($C45="Hito",AB$5&gt;=$E45,AB$5&lt;=$E45+$G45-1),1,""))</f>
        <v/>
      </c>
      <c r="AC45" s="28" t="str">
        <f ca="1">IF(AND($C45="Objetivo",AC$5&gt;=$E45,AC$5&lt;=$E45+$G45-1),2,IF(AND($C45="Hito",AC$5&gt;=$E45,AC$5&lt;=$E45+$G45-1),1,""))</f>
        <v/>
      </c>
      <c r="AD45" s="28" t="str">
        <f ca="1">IF(AND($C45="Objetivo",AD$5&gt;=$E45,AD$5&lt;=$E45+$G45-1),2,IF(AND($C45="Hito",AD$5&gt;=$E45,AD$5&lt;=$E45+$G45-1),1,""))</f>
        <v/>
      </c>
      <c r="AE45" s="28" t="str">
        <f ca="1">IF(AND($C45="Objetivo",AE$5&gt;=$E45,AE$5&lt;=$E45+$G45-1),2,IF(AND($C45="Hito",AE$5&gt;=$E45,AE$5&lt;=$E45+$G45-1),1,""))</f>
        <v/>
      </c>
      <c r="AF45" s="28" t="str">
        <f ca="1">IF(AND($C45="Objetivo",AF$5&gt;=$E45,AF$5&lt;=$E45+$G45-1),2,IF(AND($C45="Hito",AF$5&gt;=$E45,AF$5&lt;=$E45+$G45-1),1,""))</f>
        <v/>
      </c>
      <c r="AG45" s="28" t="str">
        <f ca="1">IF(AND($C45="Objetivo",AG$5&gt;=$E45,AG$5&lt;=$E45+$G45-1),2,IF(AND($C45="Hito",AG$5&gt;=$E45,AG$5&lt;=$E45+$G45-1),1,""))</f>
        <v/>
      </c>
      <c r="AH45" s="28" t="str">
        <f ca="1">IF(AND($C45="Objetivo",AH$5&gt;=$E45,AH$5&lt;=$E45+$G45-1),2,IF(AND($C45="Hito",AH$5&gt;=$E45,AH$5&lt;=$E45+$G45-1),1,""))</f>
        <v/>
      </c>
      <c r="AI45" s="28" t="str">
        <f ca="1">IF(AND($C45="Objetivo",AI$5&gt;=$E45,AI$5&lt;=$E45+$G45-1),2,IF(AND($C45="Hito",AI$5&gt;=$E45,AI$5&lt;=$E45+$G45-1),1,""))</f>
        <v/>
      </c>
      <c r="AJ45" s="28" t="str">
        <f ca="1">IF(AND($C45="Objetivo",AJ$5&gt;=$E45,AJ$5&lt;=$E45+$G45-1),2,IF(AND($C45="Hito",AJ$5&gt;=$E45,AJ$5&lt;=$E45+$G45-1),1,""))</f>
        <v/>
      </c>
      <c r="AK45" s="28" t="str">
        <f ca="1">IF(AND($C45="Objetivo",AK$5&gt;=$E45,AK$5&lt;=$E45+$G45-1),2,IF(AND($C45="Hito",AK$5&gt;=$E45,AK$5&lt;=$E45+$G45-1),1,""))</f>
        <v/>
      </c>
      <c r="AL45" s="28" t="str">
        <f ca="1">IF(AND($C45="Objetivo",AL$5&gt;=$E45,AL$5&lt;=$E45+$G45-1),2,IF(AND($C45="Hito",AL$5&gt;=$E45,AL$5&lt;=$E45+$G45-1),1,""))</f>
        <v/>
      </c>
      <c r="AM45" s="28" t="str">
        <f ca="1">IF(AND($C45="Objetivo",AM$5&gt;=$E45,AM$5&lt;=$E45+$G45-1),2,IF(AND($C45="Hito",AM$5&gt;=$E45,AM$5&lt;=$E45+$G45-1),1,""))</f>
        <v/>
      </c>
      <c r="AN45" s="28" t="str">
        <f ca="1">IF(AND($C45="Objetivo",AN$5&gt;=$E45,AN$5&lt;=$E45+$G45-1),2,IF(AND($C45="Hito",AN$5&gt;=$E45,AN$5&lt;=$E45+$G45-1),1,""))</f>
        <v/>
      </c>
      <c r="AO45" s="28" t="str">
        <f ca="1">IF(AND($C45="Objetivo",AO$5&gt;=$E45,AO$5&lt;=$E45+$G45-1),2,IF(AND($C45="Hito",AO$5&gt;=$E45,AO$5&lt;=$E45+$G45-1),1,""))</f>
        <v/>
      </c>
      <c r="AP45" s="28" t="str">
        <f ca="1">IF(AND($C45="Objetivo",AP$5&gt;=$E45,AP$5&lt;=$E45+$G45-1),2,IF(AND($C45="Hito",AP$5&gt;=$E45,AP$5&lt;=$E45+$G45-1),1,""))</f>
        <v/>
      </c>
      <c r="AQ45" s="28" t="str">
        <f ca="1">IF(AND($C45="Objetivo",AQ$5&gt;=$E45,AQ$5&lt;=$E45+$G45-1),2,IF(AND($C45="Hito",AQ$5&gt;=$E45,AQ$5&lt;=$E45+$G45-1),1,""))</f>
        <v/>
      </c>
      <c r="AR45" s="28" t="str">
        <f ca="1">IF(AND($C45="Objetivo",AR$5&gt;=$E45,AR$5&lt;=$E45+$G45-1),2,IF(AND($C45="Hito",AR$5&gt;=$E45,AR$5&lt;=$E45+$G45-1),1,""))</f>
        <v/>
      </c>
      <c r="AS45" s="28" t="str">
        <f ca="1">IF(AND($C45="Objetivo",AS$5&gt;=$E45,AS$5&lt;=$E45+$G45-1),2,IF(AND($C45="Hito",AS$5&gt;=$E45,AS$5&lt;=$E45+$G45-1),1,""))</f>
        <v/>
      </c>
      <c r="AT45" s="28" t="str">
        <f ca="1">IF(AND($C45="Objetivo",AT$5&gt;=$E45,AT$5&lt;=$E45+$G45-1),2,IF(AND($C45="Hito",AT$5&gt;=$E45,AT$5&lt;=$E45+$G45-1),1,""))</f>
        <v/>
      </c>
      <c r="AU45" s="28" t="str">
        <f ca="1">IF(AND($C45="Objetivo",AU$5&gt;=$E45,AU$5&lt;=$E45+$G45-1),2,IF(AND($C45="Hito",AU$5&gt;=$E45,AU$5&lt;=$E45+$G45-1),1,""))</f>
        <v/>
      </c>
      <c r="AV45" s="28" t="str">
        <f ca="1">IF(AND($C45="Objetivo",AV$5&gt;=$E45,AV$5&lt;=$E45+$G45-1),2,IF(AND($C45="Hito",AV$5&gt;=$E45,AV$5&lt;=$E45+$G45-1),1,""))</f>
        <v/>
      </c>
      <c r="AW45" s="28" t="str">
        <f ca="1">IF(AND($C45="Objetivo",AW$5&gt;=$E45,AW$5&lt;=$E45+$G45-1),2,IF(AND($C45="Hito",AW$5&gt;=$E45,AW$5&lt;=$E45+$G45-1),1,""))</f>
        <v/>
      </c>
      <c r="AX45" s="28" t="str">
        <f ca="1">IF(AND($C45="Objetivo",AX$5&gt;=$E45,AX$5&lt;=$E45+$G45-1),2,IF(AND($C45="Hito",AX$5&gt;=$E45,AX$5&lt;=$E45+$G45-1),1,""))</f>
        <v/>
      </c>
      <c r="AY45" s="28" t="str">
        <f ca="1">IF(AND($C45="Objetivo",AY$5&gt;=$E45,AY$5&lt;=$E45+$G45-1),2,IF(AND($C45="Hito",AY$5&gt;=$E45,AY$5&lt;=$E45+$G45-1),1,""))</f>
        <v/>
      </c>
      <c r="AZ45" s="28" t="str">
        <f ca="1">IF(AND($C45="Objetivo",AZ$5&gt;=$E45,AZ$5&lt;=$E45+$G45-1),2,IF(AND($C45="Hito",AZ$5&gt;=$E45,AZ$5&lt;=$E45+$G45-1),1,""))</f>
        <v/>
      </c>
      <c r="BA45" s="28" t="str">
        <f ca="1">IF(AND($C45="Objetivo",BA$5&gt;=$E45,BA$5&lt;=$E45+$G45-1),2,IF(AND($C45="Hito",BA$5&gt;=$E45,BA$5&lt;=$E45+$G45-1),1,""))</f>
        <v/>
      </c>
      <c r="BB45" s="28" t="str">
        <f ca="1">IF(AND($C45="Objetivo",BB$5&gt;=$E45,BB$5&lt;=$E45+$G45-1),2,IF(AND($C45="Hito",BB$5&gt;=$E45,BB$5&lt;=$E45+$G45-1),1,""))</f>
        <v/>
      </c>
      <c r="BC45" s="28" t="str">
        <f ca="1">IF(AND($C45="Objetivo",BC$5&gt;=$E45,BC$5&lt;=$E45+$G45-1),2,IF(AND($C45="Hito",BC$5&gt;=$E45,BC$5&lt;=$E45+$G45-1),1,""))</f>
        <v/>
      </c>
      <c r="BD45" s="28" t="str">
        <f ca="1">IF(AND($C45="Objetivo",BD$5&gt;=$E45,BD$5&lt;=$E45+$G45-1),2,IF(AND($C45="Hito",BD$5&gt;=$E45,BD$5&lt;=$E45+$G45-1),1,""))</f>
        <v/>
      </c>
      <c r="BE45" s="28" t="str">
        <f ca="1">IF(AND($C45="Objetivo",BE$5&gt;=$E45,BE$5&lt;=$E45+$G45-1),2,IF(AND($C45="Hito",BE$5&gt;=$E45,BE$5&lt;=$E45+$G45-1),1,""))</f>
        <v/>
      </c>
      <c r="BF45" s="28" t="str">
        <f ca="1">IF(AND($C45="Objetivo",BF$5&gt;=$E45,BF$5&lt;=$E45+$G45-1),2,IF(AND($C45="Hito",BF$5&gt;=$E45,BF$5&lt;=$E45+$G45-1),1,""))</f>
        <v/>
      </c>
      <c r="BG45" s="28" t="str">
        <f ca="1">IF(AND($C45="Objetivo",BG$5&gt;=$E45,BG$5&lt;=$E45+$G45-1),2,IF(AND($C45="Hito",BG$5&gt;=$E45,BG$5&lt;=$E45+$G45-1),1,""))</f>
        <v/>
      </c>
      <c r="BH45" s="28" t="str">
        <f ca="1">IF(AND($C45="Objetivo",BH$5&gt;=$E45,BH$5&lt;=$E45+$G45-1),2,IF(AND($C45="Hito",BH$5&gt;=$E45,BH$5&lt;=$E45+$G45-1),1,""))</f>
        <v/>
      </c>
      <c r="BI45" s="28" t="str">
        <f ca="1">IF(AND($C45="Objetivo",BI$5&gt;=$E45,BI$5&lt;=$E45+$G45-1),2,IF(AND($C45="Hito",BI$5&gt;=$E45,BI$5&lt;=$E45+$G45-1),1,""))</f>
        <v/>
      </c>
      <c r="BJ45" s="28" t="str">
        <f ca="1">IF(AND($C45="Objetivo",BJ$5&gt;=$E45,BJ$5&lt;=$E45+$G45-1),2,IF(AND($C45="Hito",BJ$5&gt;=$E45,BJ$5&lt;=$E45+$G45-1),1,""))</f>
        <v/>
      </c>
      <c r="BK45" s="28" t="str">
        <f ca="1">IF(AND($C45="Objetivo",BK$5&gt;=$E45,BK$5&lt;=$E45+$G45-1),2,IF(AND($C45="Hito",BK$5&gt;=$E45,BK$5&lt;=$E45+$G45-1),1,""))</f>
        <v/>
      </c>
      <c r="BL45" s="28" t="str">
        <f>IF(AND($C45="Objetivo",BL$5&gt;=$E45,BL$5&lt;=$E45+$G45-1),2,IF(AND($C45="Hito",BL$5&gt;=$E45,BL$5&lt;=$E45+$G45-1),1,""))</f>
        <v/>
      </c>
    </row>
    <row r="46" spans="1:64" s="1" customFormat="1" ht="30" customHeight="1" x14ac:dyDescent="0.3">
      <c r="A46" s="10"/>
      <c r="B46" s="53" t="s">
        <v>16</v>
      </c>
      <c r="C46" s="26"/>
      <c r="D46" s="26"/>
      <c r="E46" s="24">
        <f>E45+1</f>
        <v>45874</v>
      </c>
      <c r="G46" s="25"/>
      <c r="H46" s="28"/>
      <c r="I46" s="28" t="str">
        <f ca="1">IF(AND($C46="Objetivo",I$5&gt;=$E46,I$5&lt;=$E46+$G46-1),2,IF(AND($C46="Hito",I$5&gt;=$E46,I$5&lt;=$E46+$G46-1),1,""))</f>
        <v/>
      </c>
      <c r="J46" s="28" t="str">
        <f ca="1">IF(AND($C46="Objetivo",J$5&gt;=$E46,J$5&lt;=$E46+$G46-1),2,IF(AND($C46="Hito",J$5&gt;=$E46,J$5&lt;=$E46+$G46-1),1,""))</f>
        <v/>
      </c>
      <c r="K46" s="28" t="str">
        <f ca="1">IF(AND($C46="Objetivo",K$5&gt;=$E46,K$5&lt;=$E46+$G46-1),2,IF(AND($C46="Hito",K$5&gt;=$E46,K$5&lt;=$E46+$G46-1),1,""))</f>
        <v/>
      </c>
      <c r="L46" s="28" t="str">
        <f ca="1">IF(AND($C46="Objetivo",L$5&gt;=$E46,L$5&lt;=$E46+$G46-1),2,IF(AND($C46="Hito",L$5&gt;=$E46,L$5&lt;=$E46+$G46-1),1,""))</f>
        <v/>
      </c>
      <c r="M46" s="28" t="str">
        <f ca="1">IF(AND($C46="Objetivo",M$5&gt;=$E46,M$5&lt;=$E46+$G46-1),2,IF(AND($C46="Hito",M$5&gt;=$E46,M$5&lt;=$E46+$G46-1),1,""))</f>
        <v/>
      </c>
      <c r="N46" s="28" t="str">
        <f ca="1">IF(AND($C46="Objetivo",N$5&gt;=$E46,N$5&lt;=$E46+$G46-1),2,IF(AND($C46="Hito",N$5&gt;=$E46,N$5&lt;=$E46+$G46-1),1,""))</f>
        <v/>
      </c>
      <c r="O46" s="28" t="str">
        <f ca="1">IF(AND($C46="Objetivo",O$5&gt;=$E46,O$5&lt;=$E46+$G46-1),2,IF(AND($C46="Hito",O$5&gt;=$E46,O$5&lt;=$E46+$G46-1),1,""))</f>
        <v/>
      </c>
      <c r="P46" s="28" t="str">
        <f ca="1">IF(AND($C46="Objetivo",P$5&gt;=$E46,P$5&lt;=$E46+$G46-1),2,IF(AND($C46="Hito",P$5&gt;=$E46,P$5&lt;=$E46+$G46-1),1,""))</f>
        <v/>
      </c>
      <c r="Q46" s="28" t="str">
        <f ca="1">IF(AND($C46="Objetivo",Q$5&gt;=$E46,Q$5&lt;=$E46+$G46-1),2,IF(AND($C46="Hito",Q$5&gt;=$E46,Q$5&lt;=$E46+$G46-1),1,""))</f>
        <v/>
      </c>
      <c r="R46" s="28" t="str">
        <f ca="1">IF(AND($C46="Objetivo",R$5&gt;=$E46,R$5&lt;=$E46+$G46-1),2,IF(AND($C46="Hito",R$5&gt;=$E46,R$5&lt;=$E46+$G46-1),1,""))</f>
        <v/>
      </c>
      <c r="S46" s="28" t="str">
        <f ca="1">IF(AND($C46="Objetivo",S$5&gt;=$E46,S$5&lt;=$E46+$G46-1),2,IF(AND($C46="Hito",S$5&gt;=$E46,S$5&lt;=$E46+$G46-1),1,""))</f>
        <v/>
      </c>
      <c r="T46" s="28" t="str">
        <f ca="1">IF(AND($C46="Objetivo",T$5&gt;=$E46,T$5&lt;=$E46+$G46-1),2,IF(AND($C46="Hito",T$5&gt;=$E46,T$5&lt;=$E46+$G46-1),1,""))</f>
        <v/>
      </c>
      <c r="U46" s="28" t="str">
        <f ca="1">IF(AND($C46="Objetivo",U$5&gt;=$E46,U$5&lt;=$E46+$G46-1),2,IF(AND($C46="Hito",U$5&gt;=$E46,U$5&lt;=$E46+$G46-1),1,""))</f>
        <v/>
      </c>
      <c r="V46" s="28" t="str">
        <f ca="1">IF(AND($C46="Objetivo",V$5&gt;=$E46,V$5&lt;=$E46+$G46-1),2,IF(AND($C46="Hito",V$5&gt;=$E46,V$5&lt;=$E46+$G46-1),1,""))</f>
        <v/>
      </c>
      <c r="W46" s="28" t="str">
        <f ca="1">IF(AND($C46="Objetivo",W$5&gt;=$E46,W$5&lt;=$E46+$G46-1),2,IF(AND($C46="Hito",W$5&gt;=$E46,W$5&lt;=$E46+$G46-1),1,""))</f>
        <v/>
      </c>
      <c r="X46" s="28" t="str">
        <f ca="1">IF(AND($C46="Objetivo",X$5&gt;=$E46,X$5&lt;=$E46+$G46-1),2,IF(AND($C46="Hito",X$5&gt;=$E46,X$5&lt;=$E46+$G46-1),1,""))</f>
        <v/>
      </c>
      <c r="Y46" s="28" t="str">
        <f ca="1">IF(AND($C46="Objetivo",Y$5&gt;=$E46,Y$5&lt;=$E46+$G46-1),2,IF(AND($C46="Hito",Y$5&gt;=$E46,Y$5&lt;=$E46+$G46-1),1,""))</f>
        <v/>
      </c>
      <c r="Z46" s="28" t="str">
        <f ca="1">IF(AND($C46="Objetivo",Z$5&gt;=$E46,Z$5&lt;=$E46+$G46-1),2,IF(AND($C46="Hito",Z$5&gt;=$E46,Z$5&lt;=$E46+$G46-1),1,""))</f>
        <v/>
      </c>
      <c r="AA46" s="28" t="str">
        <f ca="1">IF(AND($C46="Objetivo",AA$5&gt;=$E46,AA$5&lt;=$E46+$G46-1),2,IF(AND($C46="Hito",AA$5&gt;=$E46,AA$5&lt;=$E46+$G46-1),1,""))</f>
        <v/>
      </c>
      <c r="AB46" s="28" t="str">
        <f ca="1">IF(AND($C46="Objetivo",AB$5&gt;=$E46,AB$5&lt;=$E46+$G46-1),2,IF(AND($C46="Hito",AB$5&gt;=$E46,AB$5&lt;=$E46+$G46-1),1,""))</f>
        <v/>
      </c>
      <c r="AC46" s="28" t="str">
        <f ca="1">IF(AND($C46="Objetivo",AC$5&gt;=$E46,AC$5&lt;=$E46+$G46-1),2,IF(AND($C46="Hito",AC$5&gt;=$E46,AC$5&lt;=$E46+$G46-1),1,""))</f>
        <v/>
      </c>
      <c r="AD46" s="28" t="str">
        <f ca="1">IF(AND($C46="Objetivo",AD$5&gt;=$E46,AD$5&lt;=$E46+$G46-1),2,IF(AND($C46="Hito",AD$5&gt;=$E46,AD$5&lt;=$E46+$G46-1),1,""))</f>
        <v/>
      </c>
      <c r="AE46" s="28" t="str">
        <f ca="1">IF(AND($C46="Objetivo",AE$5&gt;=$E46,AE$5&lt;=$E46+$G46-1),2,IF(AND($C46="Hito",AE$5&gt;=$E46,AE$5&lt;=$E46+$G46-1),1,""))</f>
        <v/>
      </c>
      <c r="AF46" s="28" t="str">
        <f ca="1">IF(AND($C46="Objetivo",AF$5&gt;=$E46,AF$5&lt;=$E46+$G46-1),2,IF(AND($C46="Hito",AF$5&gt;=$E46,AF$5&lt;=$E46+$G46-1),1,""))</f>
        <v/>
      </c>
      <c r="AG46" s="28" t="str">
        <f ca="1">IF(AND($C46="Objetivo",AG$5&gt;=$E46,AG$5&lt;=$E46+$G46-1),2,IF(AND($C46="Hito",AG$5&gt;=$E46,AG$5&lt;=$E46+$G46-1),1,""))</f>
        <v/>
      </c>
      <c r="AH46" s="28" t="str">
        <f ca="1">IF(AND($C46="Objetivo",AH$5&gt;=$E46,AH$5&lt;=$E46+$G46-1),2,IF(AND($C46="Hito",AH$5&gt;=$E46,AH$5&lt;=$E46+$G46-1),1,""))</f>
        <v/>
      </c>
      <c r="AI46" s="28" t="str">
        <f ca="1">IF(AND($C46="Objetivo",AI$5&gt;=$E46,AI$5&lt;=$E46+$G46-1),2,IF(AND($C46="Hito",AI$5&gt;=$E46,AI$5&lt;=$E46+$G46-1),1,""))</f>
        <v/>
      </c>
      <c r="AJ46" s="28" t="str">
        <f ca="1">IF(AND($C46="Objetivo",AJ$5&gt;=$E46,AJ$5&lt;=$E46+$G46-1),2,IF(AND($C46="Hito",AJ$5&gt;=$E46,AJ$5&lt;=$E46+$G46-1),1,""))</f>
        <v/>
      </c>
      <c r="AK46" s="28" t="str">
        <f ca="1">IF(AND($C46="Objetivo",AK$5&gt;=$E46,AK$5&lt;=$E46+$G46-1),2,IF(AND($C46="Hito",AK$5&gt;=$E46,AK$5&lt;=$E46+$G46-1),1,""))</f>
        <v/>
      </c>
      <c r="AL46" s="28" t="str">
        <f ca="1">IF(AND($C46="Objetivo",AL$5&gt;=$E46,AL$5&lt;=$E46+$G46-1),2,IF(AND($C46="Hito",AL$5&gt;=$E46,AL$5&lt;=$E46+$G46-1),1,""))</f>
        <v/>
      </c>
      <c r="AM46" s="28" t="str">
        <f ca="1">IF(AND($C46="Objetivo",AM$5&gt;=$E46,AM$5&lt;=$E46+$G46-1),2,IF(AND($C46="Hito",AM$5&gt;=$E46,AM$5&lt;=$E46+$G46-1),1,""))</f>
        <v/>
      </c>
      <c r="AN46" s="28" t="str">
        <f ca="1">IF(AND($C46="Objetivo",AN$5&gt;=$E46,AN$5&lt;=$E46+$G46-1),2,IF(AND($C46="Hito",AN$5&gt;=$E46,AN$5&lt;=$E46+$G46-1),1,""))</f>
        <v/>
      </c>
      <c r="AO46" s="28" t="str">
        <f ca="1">IF(AND($C46="Objetivo",AO$5&gt;=$E46,AO$5&lt;=$E46+$G46-1),2,IF(AND($C46="Hito",AO$5&gt;=$E46,AO$5&lt;=$E46+$G46-1),1,""))</f>
        <v/>
      </c>
      <c r="AP46" s="28" t="str">
        <f ca="1">IF(AND($C46="Objetivo",AP$5&gt;=$E46,AP$5&lt;=$E46+$G46-1),2,IF(AND($C46="Hito",AP$5&gt;=$E46,AP$5&lt;=$E46+$G46-1),1,""))</f>
        <v/>
      </c>
      <c r="AQ46" s="28" t="str">
        <f ca="1">IF(AND($C46="Objetivo",AQ$5&gt;=$E46,AQ$5&lt;=$E46+$G46-1),2,IF(AND($C46="Hito",AQ$5&gt;=$E46,AQ$5&lt;=$E46+$G46-1),1,""))</f>
        <v/>
      </c>
      <c r="AR46" s="28" t="str">
        <f ca="1">IF(AND($C46="Objetivo",AR$5&gt;=$E46,AR$5&lt;=$E46+$G46-1),2,IF(AND($C46="Hito",AR$5&gt;=$E46,AR$5&lt;=$E46+$G46-1),1,""))</f>
        <v/>
      </c>
      <c r="AS46" s="28" t="str">
        <f ca="1">IF(AND($C46="Objetivo",AS$5&gt;=$E46,AS$5&lt;=$E46+$G46-1),2,IF(AND($C46="Hito",AS$5&gt;=$E46,AS$5&lt;=$E46+$G46-1),1,""))</f>
        <v/>
      </c>
      <c r="AT46" s="28" t="str">
        <f ca="1">IF(AND($C46="Objetivo",AT$5&gt;=$E46,AT$5&lt;=$E46+$G46-1),2,IF(AND($C46="Hito",AT$5&gt;=$E46,AT$5&lt;=$E46+$G46-1),1,""))</f>
        <v/>
      </c>
      <c r="AU46" s="28" t="str">
        <f ca="1">IF(AND($C46="Objetivo",AU$5&gt;=$E46,AU$5&lt;=$E46+$G46-1),2,IF(AND($C46="Hito",AU$5&gt;=$E46,AU$5&lt;=$E46+$G46-1),1,""))</f>
        <v/>
      </c>
      <c r="AV46" s="28" t="str">
        <f ca="1">IF(AND($C46="Objetivo",AV$5&gt;=$E46,AV$5&lt;=$E46+$G46-1),2,IF(AND($C46="Hito",AV$5&gt;=$E46,AV$5&lt;=$E46+$G46-1),1,""))</f>
        <v/>
      </c>
      <c r="AW46" s="28" t="str">
        <f ca="1">IF(AND($C46="Objetivo",AW$5&gt;=$E46,AW$5&lt;=$E46+$G46-1),2,IF(AND($C46="Hito",AW$5&gt;=$E46,AW$5&lt;=$E46+$G46-1),1,""))</f>
        <v/>
      </c>
      <c r="AX46" s="28" t="str">
        <f ca="1">IF(AND($C46="Objetivo",AX$5&gt;=$E46,AX$5&lt;=$E46+$G46-1),2,IF(AND($C46="Hito",AX$5&gt;=$E46,AX$5&lt;=$E46+$G46-1),1,""))</f>
        <v/>
      </c>
      <c r="AY46" s="28" t="str">
        <f ca="1">IF(AND($C46="Objetivo",AY$5&gt;=$E46,AY$5&lt;=$E46+$G46-1),2,IF(AND($C46="Hito",AY$5&gt;=$E46,AY$5&lt;=$E46+$G46-1),1,""))</f>
        <v/>
      </c>
      <c r="AZ46" s="28" t="str">
        <f ca="1">IF(AND($C46="Objetivo",AZ$5&gt;=$E46,AZ$5&lt;=$E46+$G46-1),2,IF(AND($C46="Hito",AZ$5&gt;=$E46,AZ$5&lt;=$E46+$G46-1),1,""))</f>
        <v/>
      </c>
      <c r="BA46" s="28" t="str">
        <f ca="1">IF(AND($C46="Objetivo",BA$5&gt;=$E46,BA$5&lt;=$E46+$G46-1),2,IF(AND($C46="Hito",BA$5&gt;=$E46,BA$5&lt;=$E46+$G46-1),1,""))</f>
        <v/>
      </c>
      <c r="BB46" s="28" t="str">
        <f ca="1">IF(AND($C46="Objetivo",BB$5&gt;=$E46,BB$5&lt;=$E46+$G46-1),2,IF(AND($C46="Hito",BB$5&gt;=$E46,BB$5&lt;=$E46+$G46-1),1,""))</f>
        <v/>
      </c>
      <c r="BC46" s="28" t="str">
        <f ca="1">IF(AND($C46="Objetivo",BC$5&gt;=$E46,BC$5&lt;=$E46+$G46-1),2,IF(AND($C46="Hito",BC$5&gt;=$E46,BC$5&lt;=$E46+$G46-1),1,""))</f>
        <v/>
      </c>
      <c r="BD46" s="28" t="str">
        <f ca="1">IF(AND($C46="Objetivo",BD$5&gt;=$E46,BD$5&lt;=$E46+$G46-1),2,IF(AND($C46="Hito",BD$5&gt;=$E46,BD$5&lt;=$E46+$G46-1),1,""))</f>
        <v/>
      </c>
      <c r="BE46" s="28" t="str">
        <f ca="1">IF(AND($C46="Objetivo",BE$5&gt;=$E46,BE$5&lt;=$E46+$G46-1),2,IF(AND($C46="Hito",BE$5&gt;=$E46,BE$5&lt;=$E46+$G46-1),1,""))</f>
        <v/>
      </c>
      <c r="BF46" s="28" t="str">
        <f ca="1">IF(AND($C46="Objetivo",BF$5&gt;=$E46,BF$5&lt;=$E46+$G46-1),2,IF(AND($C46="Hito",BF$5&gt;=$E46,BF$5&lt;=$E46+$G46-1),1,""))</f>
        <v/>
      </c>
      <c r="BG46" s="28" t="str">
        <f ca="1">IF(AND($C46="Objetivo",BG$5&gt;=$E46,BG$5&lt;=$E46+$G46-1),2,IF(AND($C46="Hito",BG$5&gt;=$E46,BG$5&lt;=$E46+$G46-1),1,""))</f>
        <v/>
      </c>
      <c r="BH46" s="28" t="str">
        <f ca="1">IF(AND($C46="Objetivo",BH$5&gt;=$E46,BH$5&lt;=$E46+$G46-1),2,IF(AND($C46="Hito",BH$5&gt;=$E46,BH$5&lt;=$E46+$G46-1),1,""))</f>
        <v/>
      </c>
      <c r="BI46" s="28" t="str">
        <f ca="1">IF(AND($C46="Objetivo",BI$5&gt;=$E46,BI$5&lt;=$E46+$G46-1),2,IF(AND($C46="Hito",BI$5&gt;=$E46,BI$5&lt;=$E46+$G46-1),1,""))</f>
        <v/>
      </c>
      <c r="BJ46" s="28" t="str">
        <f ca="1">IF(AND($C46="Objetivo",BJ$5&gt;=$E46,BJ$5&lt;=$E46+$G46-1),2,IF(AND($C46="Hito",BJ$5&gt;=$E46,BJ$5&lt;=$E46+$G46-1),1,""))</f>
        <v/>
      </c>
      <c r="BK46" s="28" t="str">
        <f ca="1">IF(AND($C46="Objetivo",BK$5&gt;=$E46,BK$5&lt;=$E46+$G46-1),2,IF(AND($C46="Hito",BK$5&gt;=$E46,BK$5&lt;=$E46+$G46-1),1,""))</f>
        <v/>
      </c>
      <c r="BL46" s="28" t="str">
        <f>IF(AND($C46="Objetivo",BL$5&gt;=$E46,BL$5&lt;=$E46+$G46-1),2,IF(AND($C46="Hito",BL$5&gt;=$E46,BL$5&lt;=$E46+$G46-1),1,""))</f>
        <v/>
      </c>
    </row>
    <row r="47" spans="1:64" s="1" customFormat="1" ht="30" customHeight="1" x14ac:dyDescent="0.3">
      <c r="A47" s="10"/>
      <c r="B47" s="54" t="s">
        <v>18</v>
      </c>
      <c r="C47" s="26"/>
      <c r="D47" s="26"/>
      <c r="E47" s="24"/>
      <c r="F47" s="42"/>
      <c r="G47" s="42"/>
      <c r="H47" s="28" t="str">
        <f t="shared" ref="H45:H58" ca="1" si="31">IF(AND($C47="Objetivo",H$5&gt;=$E47,H$5&lt;=$E47+$F47-1),2,IF(AND($C47="Hito",H$5&gt;=$E47,H$5&lt;=$E47+$F47-1),1,""))</f>
        <v/>
      </c>
      <c r="I47" s="28" t="str">
        <f t="shared" ca="1" si="30"/>
        <v/>
      </c>
      <c r="J47" s="28" t="str">
        <f t="shared" ca="1" si="26"/>
        <v/>
      </c>
      <c r="K47" s="28" t="str">
        <f t="shared" ca="1" si="26"/>
        <v/>
      </c>
      <c r="L47" s="28" t="str">
        <f t="shared" ca="1" si="26"/>
        <v/>
      </c>
      <c r="M47" s="28" t="str">
        <f t="shared" ca="1" si="26"/>
        <v/>
      </c>
      <c r="N47" s="28" t="str">
        <f t="shared" ca="1" si="26"/>
        <v/>
      </c>
      <c r="O47" s="28" t="str">
        <f t="shared" ca="1" si="26"/>
        <v/>
      </c>
      <c r="P47" s="28" t="str">
        <f t="shared" ca="1" si="26"/>
        <v/>
      </c>
      <c r="Q47" s="28" t="str">
        <f t="shared" ca="1" si="26"/>
        <v/>
      </c>
      <c r="R47" s="28" t="str">
        <f t="shared" ca="1" si="26"/>
        <v/>
      </c>
      <c r="S47" s="28" t="str">
        <f t="shared" ca="1" si="26"/>
        <v/>
      </c>
      <c r="T47" s="28" t="str">
        <f t="shared" ca="1" si="26"/>
        <v/>
      </c>
      <c r="U47" s="28" t="str">
        <f t="shared" ca="1" si="26"/>
        <v/>
      </c>
      <c r="V47" s="28" t="str">
        <f t="shared" ca="1" si="26"/>
        <v/>
      </c>
      <c r="W47" s="28" t="str">
        <f t="shared" ca="1" si="26"/>
        <v/>
      </c>
      <c r="X47" s="28" t="str">
        <f t="shared" ca="1" si="26"/>
        <v/>
      </c>
      <c r="Y47" s="28" t="str">
        <f t="shared" ca="1" si="27"/>
        <v/>
      </c>
      <c r="Z47" s="28" t="str">
        <f t="shared" ca="1" si="27"/>
        <v/>
      </c>
      <c r="AA47" s="28" t="str">
        <f t="shared" ca="1" si="27"/>
        <v/>
      </c>
      <c r="AB47" s="28" t="str">
        <f t="shared" ca="1" si="27"/>
        <v/>
      </c>
      <c r="AC47" s="28" t="str">
        <f t="shared" ca="1" si="27"/>
        <v/>
      </c>
      <c r="AD47" s="28" t="str">
        <f t="shared" ca="1" si="27"/>
        <v/>
      </c>
      <c r="AE47" s="28" t="str">
        <f t="shared" ca="1" si="27"/>
        <v/>
      </c>
      <c r="AF47" s="28" t="str">
        <f t="shared" ca="1" si="27"/>
        <v/>
      </c>
      <c r="AG47" s="28" t="str">
        <f t="shared" ca="1" si="27"/>
        <v/>
      </c>
      <c r="AH47" s="28" t="str">
        <f t="shared" ca="1" si="27"/>
        <v/>
      </c>
      <c r="AI47" s="28" t="str">
        <f t="shared" ca="1" si="27"/>
        <v/>
      </c>
      <c r="AJ47" s="28" t="str">
        <f t="shared" ca="1" si="27"/>
        <v/>
      </c>
      <c r="AK47" s="28" t="str">
        <f t="shared" ca="1" si="27"/>
        <v/>
      </c>
      <c r="AL47" s="28" t="str">
        <f t="shared" ca="1" si="27"/>
        <v/>
      </c>
      <c r="AM47" s="28" t="str">
        <f t="shared" ca="1" si="27"/>
        <v/>
      </c>
      <c r="AN47" s="28" t="str">
        <f t="shared" ca="1" si="27"/>
        <v/>
      </c>
      <c r="AO47" s="28" t="str">
        <f t="shared" ca="1" si="28"/>
        <v/>
      </c>
      <c r="AP47" s="28" t="str">
        <f t="shared" ca="1" si="28"/>
        <v/>
      </c>
      <c r="AQ47" s="28" t="str">
        <f t="shared" ca="1" si="28"/>
        <v/>
      </c>
      <c r="AR47" s="28" t="str">
        <f t="shared" ca="1" si="28"/>
        <v/>
      </c>
      <c r="AS47" s="28" t="str">
        <f t="shared" ca="1" si="28"/>
        <v/>
      </c>
      <c r="AT47" s="28" t="str">
        <f t="shared" ca="1" si="28"/>
        <v/>
      </c>
      <c r="AU47" s="28" t="str">
        <f t="shared" ca="1" si="28"/>
        <v/>
      </c>
      <c r="AV47" s="28" t="str">
        <f t="shared" ca="1" si="28"/>
        <v/>
      </c>
      <c r="AW47" s="28" t="str">
        <f t="shared" ca="1" si="28"/>
        <v/>
      </c>
      <c r="AX47" s="28" t="str">
        <f t="shared" ca="1" si="28"/>
        <v/>
      </c>
      <c r="AY47" s="28" t="str">
        <f t="shared" ca="1" si="28"/>
        <v/>
      </c>
      <c r="AZ47" s="28" t="str">
        <f t="shared" ca="1" si="28"/>
        <v/>
      </c>
      <c r="BA47" s="28" t="str">
        <f t="shared" ca="1" si="28"/>
        <v/>
      </c>
      <c r="BB47" s="28" t="str">
        <f t="shared" ca="1" si="28"/>
        <v/>
      </c>
      <c r="BC47" s="28" t="str">
        <f t="shared" ca="1" si="28"/>
        <v/>
      </c>
      <c r="BD47" s="28" t="str">
        <f t="shared" ca="1" si="28"/>
        <v/>
      </c>
      <c r="BE47" s="28" t="str">
        <f t="shared" ca="1" si="29"/>
        <v/>
      </c>
      <c r="BF47" s="28" t="str">
        <f t="shared" ca="1" si="29"/>
        <v/>
      </c>
      <c r="BG47" s="28" t="str">
        <f t="shared" ca="1" si="29"/>
        <v/>
      </c>
      <c r="BH47" s="28" t="str">
        <f t="shared" ca="1" si="29"/>
        <v/>
      </c>
      <c r="BI47" s="28" t="str">
        <f t="shared" ca="1" si="29"/>
        <v/>
      </c>
      <c r="BJ47" s="28" t="str">
        <f t="shared" ca="1" si="29"/>
        <v/>
      </c>
      <c r="BK47" s="28" t="str">
        <f t="shared" ca="1" si="29"/>
        <v/>
      </c>
      <c r="BL47" s="28" t="str">
        <f t="shared" si="29"/>
        <v/>
      </c>
    </row>
    <row r="48" spans="1:64" s="1" customFormat="1" ht="30" customHeight="1" x14ac:dyDescent="0.3">
      <c r="A48" s="10"/>
      <c r="B48" s="53" t="s">
        <v>12</v>
      </c>
      <c r="C48" s="26" t="s">
        <v>24</v>
      </c>
      <c r="D48" s="26"/>
      <c r="E48" s="24"/>
      <c r="F48" s="24">
        <f>E36+15</f>
        <v>45873</v>
      </c>
      <c r="G48" s="25">
        <v>4</v>
      </c>
      <c r="H48" s="28" t="str">
        <f t="shared" ca="1" si="31"/>
        <v/>
      </c>
      <c r="I48" s="28" t="str">
        <f t="shared" ca="1" si="30"/>
        <v/>
      </c>
      <c r="J48" s="28" t="str">
        <f t="shared" ca="1" si="26"/>
        <v/>
      </c>
      <c r="K48" s="28" t="str">
        <f t="shared" ca="1" si="26"/>
        <v/>
      </c>
      <c r="L48" s="28" t="str">
        <f t="shared" ca="1" si="26"/>
        <v/>
      </c>
      <c r="M48" s="28" t="str">
        <f t="shared" ca="1" si="26"/>
        <v/>
      </c>
      <c r="N48" s="28" t="str">
        <f t="shared" ca="1" si="26"/>
        <v/>
      </c>
      <c r="O48" s="28" t="str">
        <f t="shared" ca="1" si="26"/>
        <v/>
      </c>
      <c r="P48" s="28" t="str">
        <f t="shared" ca="1" si="26"/>
        <v/>
      </c>
      <c r="Q48" s="28" t="str">
        <f t="shared" ca="1" si="26"/>
        <v/>
      </c>
      <c r="R48" s="28" t="str">
        <f t="shared" ca="1" si="26"/>
        <v/>
      </c>
      <c r="S48" s="28" t="str">
        <f t="shared" ca="1" si="26"/>
        <v/>
      </c>
      <c r="T48" s="28" t="str">
        <f t="shared" ca="1" si="26"/>
        <v/>
      </c>
      <c r="U48" s="28" t="str">
        <f t="shared" ca="1" si="26"/>
        <v/>
      </c>
      <c r="V48" s="28" t="str">
        <f t="shared" ca="1" si="26"/>
        <v/>
      </c>
      <c r="W48" s="28" t="str">
        <f t="shared" ca="1" si="26"/>
        <v/>
      </c>
      <c r="X48" s="28" t="str">
        <f t="shared" ca="1" si="26"/>
        <v/>
      </c>
      <c r="Y48" s="28" t="str">
        <f t="shared" ca="1" si="27"/>
        <v/>
      </c>
      <c r="Z48" s="28" t="str">
        <f t="shared" ca="1" si="27"/>
        <v/>
      </c>
      <c r="AA48" s="28" t="str">
        <f t="shared" ca="1" si="27"/>
        <v/>
      </c>
      <c r="AB48" s="28" t="str">
        <f t="shared" ca="1" si="27"/>
        <v/>
      </c>
      <c r="AC48" s="28" t="str">
        <f t="shared" ca="1" si="27"/>
        <v/>
      </c>
      <c r="AD48" s="28" t="str">
        <f t="shared" ca="1" si="27"/>
        <v/>
      </c>
      <c r="AE48" s="28" t="str">
        <f t="shared" ca="1" si="27"/>
        <v/>
      </c>
      <c r="AF48" s="28" t="str">
        <f t="shared" ca="1" si="27"/>
        <v/>
      </c>
      <c r="AG48" s="28" t="str">
        <f t="shared" ca="1" si="27"/>
        <v/>
      </c>
      <c r="AH48" s="28" t="str">
        <f t="shared" ca="1" si="27"/>
        <v/>
      </c>
      <c r="AI48" s="28" t="str">
        <f t="shared" ca="1" si="27"/>
        <v/>
      </c>
      <c r="AJ48" s="28" t="str">
        <f t="shared" ca="1" si="27"/>
        <v/>
      </c>
      <c r="AK48" s="28" t="str">
        <f t="shared" ca="1" si="27"/>
        <v/>
      </c>
      <c r="AL48" s="28" t="str">
        <f t="shared" ca="1" si="27"/>
        <v/>
      </c>
      <c r="AM48" s="28" t="str">
        <f t="shared" ca="1" si="27"/>
        <v/>
      </c>
      <c r="AN48" s="28" t="str">
        <f t="shared" ca="1" si="27"/>
        <v/>
      </c>
      <c r="AO48" s="28" t="str">
        <f t="shared" ca="1" si="28"/>
        <v/>
      </c>
      <c r="AP48" s="28" t="str">
        <f t="shared" ca="1" si="28"/>
        <v/>
      </c>
      <c r="AQ48" s="28" t="str">
        <f t="shared" ca="1" si="28"/>
        <v/>
      </c>
      <c r="AR48" s="28" t="str">
        <f t="shared" ca="1" si="28"/>
        <v/>
      </c>
      <c r="AS48" s="28" t="str">
        <f t="shared" ca="1" si="28"/>
        <v/>
      </c>
      <c r="AT48" s="28" t="str">
        <f t="shared" ca="1" si="28"/>
        <v/>
      </c>
      <c r="AU48" s="28" t="str">
        <f t="shared" ca="1" si="28"/>
        <v/>
      </c>
      <c r="AV48" s="28" t="str">
        <f t="shared" ca="1" si="28"/>
        <v/>
      </c>
      <c r="AW48" s="28" t="str">
        <f t="shared" ca="1" si="28"/>
        <v/>
      </c>
      <c r="AX48" s="28" t="str">
        <f t="shared" ca="1" si="28"/>
        <v/>
      </c>
      <c r="AY48" s="28" t="str">
        <f t="shared" ca="1" si="28"/>
        <v/>
      </c>
      <c r="AZ48" s="28" t="str">
        <f t="shared" ca="1" si="28"/>
        <v/>
      </c>
      <c r="BA48" s="28" t="str">
        <f t="shared" ca="1" si="28"/>
        <v/>
      </c>
      <c r="BB48" s="28" t="str">
        <f t="shared" ca="1" si="28"/>
        <v/>
      </c>
      <c r="BC48" s="28" t="str">
        <f t="shared" ca="1" si="28"/>
        <v/>
      </c>
      <c r="BD48" s="28" t="str">
        <f t="shared" ca="1" si="28"/>
        <v/>
      </c>
      <c r="BE48" s="28" t="str">
        <f t="shared" ca="1" si="29"/>
        <v/>
      </c>
      <c r="BF48" s="28" t="str">
        <f t="shared" ca="1" si="29"/>
        <v/>
      </c>
      <c r="BG48" s="28" t="str">
        <f t="shared" ca="1" si="29"/>
        <v/>
      </c>
      <c r="BH48" s="28" t="str">
        <f t="shared" ca="1" si="29"/>
        <v/>
      </c>
      <c r="BI48" s="28" t="str">
        <f t="shared" ca="1" si="29"/>
        <v/>
      </c>
      <c r="BJ48" s="28" t="str">
        <f t="shared" ca="1" si="29"/>
        <v/>
      </c>
      <c r="BK48" s="28" t="str">
        <f t="shared" ca="1" si="29"/>
        <v/>
      </c>
      <c r="BL48" s="28" t="str">
        <f t="shared" si="29"/>
        <v/>
      </c>
    </row>
    <row r="49" spans="1:64" s="1" customFormat="1" ht="30" customHeight="1" x14ac:dyDescent="0.3">
      <c r="A49" s="10"/>
      <c r="B49" s="53" t="s">
        <v>13</v>
      </c>
      <c r="C49" s="26" t="s">
        <v>22</v>
      </c>
      <c r="D49" s="26"/>
      <c r="E49" s="24"/>
      <c r="F49" s="24">
        <f>F48+3</f>
        <v>45876</v>
      </c>
      <c r="G49" s="25">
        <v>14</v>
      </c>
      <c r="H49" s="28" t="str">
        <f t="shared" ca="1" si="31"/>
        <v/>
      </c>
      <c r="I49" s="28" t="str">
        <f t="shared" ca="1" si="30"/>
        <v/>
      </c>
      <c r="J49" s="28" t="str">
        <f t="shared" ca="1" si="26"/>
        <v/>
      </c>
      <c r="K49" s="28" t="str">
        <f t="shared" ca="1" si="26"/>
        <v/>
      </c>
      <c r="L49" s="28" t="str">
        <f t="shared" ca="1" si="26"/>
        <v/>
      </c>
      <c r="M49" s="28" t="str">
        <f t="shared" ca="1" si="26"/>
        <v/>
      </c>
      <c r="N49" s="28" t="str">
        <f t="shared" ca="1" si="26"/>
        <v/>
      </c>
      <c r="O49" s="28" t="str">
        <f t="shared" ca="1" si="26"/>
        <v/>
      </c>
      <c r="P49" s="28" t="str">
        <f t="shared" ca="1" si="26"/>
        <v/>
      </c>
      <c r="Q49" s="28" t="str">
        <f t="shared" ca="1" si="26"/>
        <v/>
      </c>
      <c r="R49" s="28" t="str">
        <f t="shared" ca="1" si="26"/>
        <v/>
      </c>
      <c r="S49" s="28" t="str">
        <f t="shared" ca="1" si="26"/>
        <v/>
      </c>
      <c r="T49" s="28" t="str">
        <f t="shared" ca="1" si="26"/>
        <v/>
      </c>
      <c r="U49" s="28" t="str">
        <f t="shared" ca="1" si="26"/>
        <v/>
      </c>
      <c r="V49" s="28" t="str">
        <f t="shared" ca="1" si="26"/>
        <v/>
      </c>
      <c r="W49" s="28" t="str">
        <f t="shared" ca="1" si="26"/>
        <v/>
      </c>
      <c r="X49" s="28" t="str">
        <f t="shared" ca="1" si="26"/>
        <v/>
      </c>
      <c r="Y49" s="28" t="str">
        <f t="shared" ca="1" si="27"/>
        <v/>
      </c>
      <c r="Z49" s="28" t="str">
        <f t="shared" ca="1" si="27"/>
        <v/>
      </c>
      <c r="AA49" s="28" t="str">
        <f t="shared" ca="1" si="27"/>
        <v/>
      </c>
      <c r="AB49" s="28" t="str">
        <f t="shared" ca="1" si="27"/>
        <v/>
      </c>
      <c r="AC49" s="28" t="str">
        <f t="shared" ca="1" si="27"/>
        <v/>
      </c>
      <c r="AD49" s="28" t="str">
        <f t="shared" ca="1" si="27"/>
        <v/>
      </c>
      <c r="AE49" s="28" t="str">
        <f t="shared" ca="1" si="27"/>
        <v/>
      </c>
      <c r="AF49" s="28" t="str">
        <f t="shared" ca="1" si="27"/>
        <v/>
      </c>
      <c r="AG49" s="28" t="str">
        <f t="shared" ca="1" si="27"/>
        <v/>
      </c>
      <c r="AH49" s="28" t="str">
        <f t="shared" ca="1" si="27"/>
        <v/>
      </c>
      <c r="AI49" s="28" t="str">
        <f t="shared" ca="1" si="27"/>
        <v/>
      </c>
      <c r="AJ49" s="28" t="str">
        <f t="shared" ca="1" si="27"/>
        <v/>
      </c>
      <c r="AK49" s="28" t="str">
        <f t="shared" ca="1" si="27"/>
        <v/>
      </c>
      <c r="AL49" s="28" t="str">
        <f t="shared" ca="1" si="27"/>
        <v/>
      </c>
      <c r="AM49" s="28" t="str">
        <f t="shared" ca="1" si="27"/>
        <v/>
      </c>
      <c r="AN49" s="28" t="str">
        <f t="shared" ca="1" si="27"/>
        <v/>
      </c>
      <c r="AO49" s="28" t="str">
        <f t="shared" ca="1" si="28"/>
        <v/>
      </c>
      <c r="AP49" s="28" t="str">
        <f t="shared" ca="1" si="28"/>
        <v/>
      </c>
      <c r="AQ49" s="28" t="str">
        <f t="shared" ca="1" si="28"/>
        <v/>
      </c>
      <c r="AR49" s="28" t="str">
        <f t="shared" ca="1" si="28"/>
        <v/>
      </c>
      <c r="AS49" s="28" t="str">
        <f t="shared" ca="1" si="28"/>
        <v/>
      </c>
      <c r="AT49" s="28" t="str">
        <f t="shared" ca="1" si="28"/>
        <v/>
      </c>
      <c r="AU49" s="28" t="str">
        <f t="shared" ca="1" si="28"/>
        <v/>
      </c>
      <c r="AV49" s="28" t="str">
        <f t="shared" ca="1" si="28"/>
        <v/>
      </c>
      <c r="AW49" s="28" t="str">
        <f t="shared" ca="1" si="28"/>
        <v/>
      </c>
      <c r="AX49" s="28" t="str">
        <f t="shared" ca="1" si="28"/>
        <v/>
      </c>
      <c r="AY49" s="28" t="str">
        <f t="shared" ca="1" si="28"/>
        <v/>
      </c>
      <c r="AZ49" s="28" t="str">
        <f t="shared" ca="1" si="28"/>
        <v/>
      </c>
      <c r="BA49" s="28" t="str">
        <f t="shared" ca="1" si="28"/>
        <v/>
      </c>
      <c r="BB49" s="28" t="str">
        <f t="shared" ca="1" si="28"/>
        <v/>
      </c>
      <c r="BC49" s="28" t="str">
        <f t="shared" ca="1" si="28"/>
        <v/>
      </c>
      <c r="BD49" s="28" t="str">
        <f t="shared" ca="1" si="28"/>
        <v/>
      </c>
      <c r="BE49" s="28" t="str">
        <f t="shared" ca="1" si="29"/>
        <v/>
      </c>
      <c r="BF49" s="28" t="str">
        <f t="shared" ca="1" si="29"/>
        <v/>
      </c>
      <c r="BG49" s="28" t="str">
        <f t="shared" ca="1" si="29"/>
        <v/>
      </c>
      <c r="BH49" s="28" t="str">
        <f t="shared" ca="1" si="29"/>
        <v/>
      </c>
      <c r="BI49" s="28" t="str">
        <f t="shared" ca="1" si="29"/>
        <v/>
      </c>
      <c r="BJ49" s="28" t="str">
        <f t="shared" ca="1" si="29"/>
        <v/>
      </c>
      <c r="BK49" s="28" t="str">
        <f t="shared" ca="1" si="29"/>
        <v/>
      </c>
      <c r="BL49" s="28" t="str">
        <f t="shared" si="29"/>
        <v/>
      </c>
    </row>
    <row r="50" spans="1:64" s="1" customFormat="1" ht="30" customHeight="1" x14ac:dyDescent="0.3">
      <c r="A50" s="10"/>
      <c r="B50" s="53" t="s">
        <v>14</v>
      </c>
      <c r="C50" s="26" t="s">
        <v>24</v>
      </c>
      <c r="D50" s="26"/>
      <c r="E50" s="24"/>
      <c r="F50" s="24">
        <f>F49+15</f>
        <v>45891</v>
      </c>
      <c r="G50" s="25">
        <v>6</v>
      </c>
      <c r="H50" s="28" t="str">
        <f t="shared" ca="1" si="31"/>
        <v/>
      </c>
      <c r="I50" s="28" t="str">
        <f t="shared" ca="1" si="30"/>
        <v/>
      </c>
      <c r="J50" s="28" t="str">
        <f t="shared" ca="1" si="26"/>
        <v/>
      </c>
      <c r="K50" s="28" t="str">
        <f t="shared" ca="1" si="26"/>
        <v/>
      </c>
      <c r="L50" s="28" t="str">
        <f t="shared" ca="1" si="26"/>
        <v/>
      </c>
      <c r="M50" s="28" t="str">
        <f t="shared" ca="1" si="26"/>
        <v/>
      </c>
      <c r="N50" s="28" t="str">
        <f t="shared" ca="1" si="26"/>
        <v/>
      </c>
      <c r="O50" s="28" t="str">
        <f t="shared" ca="1" si="26"/>
        <v/>
      </c>
      <c r="P50" s="28" t="str">
        <f t="shared" ca="1" si="26"/>
        <v/>
      </c>
      <c r="Q50" s="28" t="str">
        <f t="shared" ca="1" si="26"/>
        <v/>
      </c>
      <c r="R50" s="28" t="str">
        <f t="shared" ca="1" si="26"/>
        <v/>
      </c>
      <c r="S50" s="28" t="str">
        <f t="shared" ca="1" si="26"/>
        <v/>
      </c>
      <c r="T50" s="28" t="str">
        <f t="shared" ca="1" si="26"/>
        <v/>
      </c>
      <c r="U50" s="28" t="str">
        <f t="shared" ca="1" si="26"/>
        <v/>
      </c>
      <c r="V50" s="28" t="str">
        <f t="shared" ca="1" si="26"/>
        <v/>
      </c>
      <c r="W50" s="28" t="str">
        <f t="shared" ca="1" si="26"/>
        <v/>
      </c>
      <c r="X50" s="28" t="str">
        <f t="shared" ca="1" si="26"/>
        <v/>
      </c>
      <c r="Y50" s="28" t="str">
        <f t="shared" ca="1" si="27"/>
        <v/>
      </c>
      <c r="Z50" s="28" t="str">
        <f t="shared" ca="1" si="27"/>
        <v/>
      </c>
      <c r="AA50" s="28" t="str">
        <f t="shared" ca="1" si="27"/>
        <v/>
      </c>
      <c r="AB50" s="28" t="str">
        <f t="shared" ca="1" si="27"/>
        <v/>
      </c>
      <c r="AC50" s="28" t="str">
        <f t="shared" ca="1" si="27"/>
        <v/>
      </c>
      <c r="AD50" s="28" t="str">
        <f t="shared" ca="1" si="27"/>
        <v/>
      </c>
      <c r="AE50" s="28" t="str">
        <f t="shared" ca="1" si="27"/>
        <v/>
      </c>
      <c r="AF50" s="28" t="str">
        <f t="shared" ca="1" si="27"/>
        <v/>
      </c>
      <c r="AG50" s="28" t="str">
        <f t="shared" ca="1" si="27"/>
        <v/>
      </c>
      <c r="AH50" s="28" t="str">
        <f t="shared" ca="1" si="27"/>
        <v/>
      </c>
      <c r="AI50" s="28" t="str">
        <f t="shared" ca="1" si="27"/>
        <v/>
      </c>
      <c r="AJ50" s="28" t="str">
        <f t="shared" ca="1" si="27"/>
        <v/>
      </c>
      <c r="AK50" s="28" t="str">
        <f t="shared" ca="1" si="27"/>
        <v/>
      </c>
      <c r="AL50" s="28" t="str">
        <f t="shared" ca="1" si="27"/>
        <v/>
      </c>
      <c r="AM50" s="28" t="str">
        <f t="shared" ca="1" si="27"/>
        <v/>
      </c>
      <c r="AN50" s="28" t="str">
        <f t="shared" ref="AN50:BC58" ca="1" si="32">IF(AND($C50="Objetivo",AN$5&gt;=$F50,AN$5&lt;=$F50+$G50-1),2,IF(AND($C50="Hito",AN$5&gt;=$F50,AN$5&lt;=$F50+$G50-1),1,""))</f>
        <v/>
      </c>
      <c r="AO50" s="28" t="str">
        <f t="shared" ca="1" si="28"/>
        <v/>
      </c>
      <c r="AP50" s="28" t="str">
        <f t="shared" ca="1" si="28"/>
        <v/>
      </c>
      <c r="AQ50" s="28" t="str">
        <f t="shared" ca="1" si="28"/>
        <v/>
      </c>
      <c r="AR50" s="28" t="str">
        <f t="shared" ca="1" si="28"/>
        <v/>
      </c>
      <c r="AS50" s="28" t="str">
        <f t="shared" ca="1" si="28"/>
        <v/>
      </c>
      <c r="AT50" s="28" t="str">
        <f t="shared" ca="1" si="28"/>
        <v/>
      </c>
      <c r="AU50" s="28" t="str">
        <f t="shared" ca="1" si="28"/>
        <v/>
      </c>
      <c r="AV50" s="28" t="str">
        <f t="shared" ca="1" si="28"/>
        <v/>
      </c>
      <c r="AW50" s="28" t="str">
        <f t="shared" ca="1" si="28"/>
        <v/>
      </c>
      <c r="AX50" s="28" t="str">
        <f t="shared" ca="1" si="28"/>
        <v/>
      </c>
      <c r="AY50" s="28" t="str">
        <f t="shared" ca="1" si="28"/>
        <v/>
      </c>
      <c r="AZ50" s="28" t="str">
        <f t="shared" ca="1" si="28"/>
        <v/>
      </c>
      <c r="BA50" s="28" t="str">
        <f t="shared" ca="1" si="28"/>
        <v/>
      </c>
      <c r="BB50" s="28" t="str">
        <f t="shared" ca="1" si="28"/>
        <v/>
      </c>
      <c r="BC50" s="28" t="str">
        <f t="shared" ca="1" si="28"/>
        <v/>
      </c>
      <c r="BD50" s="28" t="str">
        <f t="shared" ref="BD50:BL58" ca="1" si="33">IF(AND($C50="Objetivo",BD$5&gt;=$F50,BD$5&lt;=$F50+$G50-1),2,IF(AND($C50="Hito",BD$5&gt;=$F50,BD$5&lt;=$F50+$G50-1),1,""))</f>
        <v/>
      </c>
      <c r="BE50" s="28" t="str">
        <f t="shared" ca="1" si="29"/>
        <v/>
      </c>
      <c r="BF50" s="28" t="str">
        <f t="shared" ca="1" si="29"/>
        <v/>
      </c>
      <c r="BG50" s="28" t="str">
        <f t="shared" ca="1" si="29"/>
        <v/>
      </c>
      <c r="BH50" s="28" t="str">
        <f t="shared" ca="1" si="29"/>
        <v/>
      </c>
      <c r="BI50" s="28" t="str">
        <f t="shared" ca="1" si="29"/>
        <v/>
      </c>
      <c r="BJ50" s="28" t="str">
        <f t="shared" ca="1" si="29"/>
        <v/>
      </c>
      <c r="BK50" s="28" t="str">
        <f t="shared" ca="1" si="29"/>
        <v/>
      </c>
      <c r="BL50" s="28" t="str">
        <f t="shared" si="29"/>
        <v/>
      </c>
    </row>
    <row r="51" spans="1:64" s="1" customFormat="1" ht="30" customHeight="1" x14ac:dyDescent="0.3">
      <c r="A51" s="10"/>
      <c r="B51" s="53" t="s">
        <v>15</v>
      </c>
      <c r="C51" s="26" t="s">
        <v>64</v>
      </c>
      <c r="D51" s="26"/>
      <c r="E51" s="24"/>
      <c r="F51" s="24">
        <f>E45+22</f>
        <v>45895</v>
      </c>
      <c r="G51" s="25">
        <v>3</v>
      </c>
      <c r="H51" s="28">
        <f t="shared" ca="1" si="31"/>
        <v>2</v>
      </c>
      <c r="I51" s="28" t="str">
        <f t="shared" ca="1" si="30"/>
        <v/>
      </c>
      <c r="J51" s="28" t="str">
        <f t="shared" ca="1" si="30"/>
        <v/>
      </c>
      <c r="K51" s="28" t="str">
        <f t="shared" ca="1" si="30"/>
        <v/>
      </c>
      <c r="L51" s="28" t="str">
        <f t="shared" ca="1" si="30"/>
        <v/>
      </c>
      <c r="M51" s="28" t="str">
        <f t="shared" ca="1" si="30"/>
        <v/>
      </c>
      <c r="N51" s="28" t="str">
        <f t="shared" ca="1" si="30"/>
        <v/>
      </c>
      <c r="O51" s="28" t="str">
        <f t="shared" ca="1" si="30"/>
        <v/>
      </c>
      <c r="P51" s="28" t="str">
        <f t="shared" ca="1" si="30"/>
        <v/>
      </c>
      <c r="Q51" s="28" t="str">
        <f t="shared" ca="1" si="30"/>
        <v/>
      </c>
      <c r="R51" s="28" t="str">
        <f t="shared" ca="1" si="30"/>
        <v/>
      </c>
      <c r="S51" s="28" t="str">
        <f t="shared" ca="1" si="30"/>
        <v/>
      </c>
      <c r="T51" s="28" t="str">
        <f t="shared" ca="1" si="30"/>
        <v/>
      </c>
      <c r="U51" s="28" t="str">
        <f t="shared" ca="1" si="30"/>
        <v/>
      </c>
      <c r="V51" s="28" t="str">
        <f t="shared" ca="1" si="30"/>
        <v/>
      </c>
      <c r="W51" s="28" t="str">
        <f t="shared" ca="1" si="30"/>
        <v/>
      </c>
      <c r="X51" s="28" t="str">
        <f t="shared" ca="1" si="30"/>
        <v/>
      </c>
      <c r="Y51" s="28" t="str">
        <f t="shared" ref="Y51:AM58" ca="1" si="34">IF(AND($C51="Objetivo",Y$5&gt;=$F51,Y$5&lt;=$F51+$G51-1),2,IF(AND($C51="Hito",Y$5&gt;=$F51,Y$5&lt;=$F51+$G51-1),1,""))</f>
        <v/>
      </c>
      <c r="Z51" s="28" t="str">
        <f t="shared" ca="1" si="34"/>
        <v/>
      </c>
      <c r="AA51" s="28" t="str">
        <f t="shared" ca="1" si="34"/>
        <v/>
      </c>
      <c r="AB51" s="28" t="str">
        <f t="shared" ca="1" si="34"/>
        <v/>
      </c>
      <c r="AC51" s="28" t="str">
        <f t="shared" ca="1" si="34"/>
        <v/>
      </c>
      <c r="AD51" s="28" t="str">
        <f t="shared" ca="1" si="34"/>
        <v/>
      </c>
      <c r="AE51" s="28" t="str">
        <f t="shared" ca="1" si="34"/>
        <v/>
      </c>
      <c r="AF51" s="28" t="str">
        <f t="shared" ca="1" si="34"/>
        <v/>
      </c>
      <c r="AG51" s="28" t="str">
        <f t="shared" ca="1" si="34"/>
        <v/>
      </c>
      <c r="AH51" s="28" t="str">
        <f t="shared" ca="1" si="34"/>
        <v/>
      </c>
      <c r="AI51" s="28" t="str">
        <f t="shared" ca="1" si="34"/>
        <v/>
      </c>
      <c r="AJ51" s="28" t="str">
        <f t="shared" ca="1" si="34"/>
        <v/>
      </c>
      <c r="AK51" s="28" t="str">
        <f t="shared" ca="1" si="34"/>
        <v/>
      </c>
      <c r="AL51" s="28" t="str">
        <f t="shared" ca="1" si="34"/>
        <v/>
      </c>
      <c r="AM51" s="28" t="str">
        <f t="shared" ca="1" si="34"/>
        <v/>
      </c>
      <c r="AN51" s="28" t="str">
        <f t="shared" ca="1" si="32"/>
        <v/>
      </c>
      <c r="AO51" s="28" t="str">
        <f t="shared" ca="1" si="32"/>
        <v/>
      </c>
      <c r="AP51" s="28" t="str">
        <f t="shared" ca="1" si="32"/>
        <v/>
      </c>
      <c r="AQ51" s="28" t="str">
        <f t="shared" ca="1" si="32"/>
        <v/>
      </c>
      <c r="AR51" s="28" t="str">
        <f t="shared" ca="1" si="32"/>
        <v/>
      </c>
      <c r="AS51" s="28" t="str">
        <f t="shared" ca="1" si="32"/>
        <v/>
      </c>
      <c r="AT51" s="28" t="str">
        <f t="shared" ca="1" si="32"/>
        <v/>
      </c>
      <c r="AU51" s="28" t="str">
        <f t="shared" ca="1" si="32"/>
        <v/>
      </c>
      <c r="AV51" s="28" t="str">
        <f t="shared" ca="1" si="32"/>
        <v/>
      </c>
      <c r="AW51" s="28" t="str">
        <f t="shared" ca="1" si="32"/>
        <v/>
      </c>
      <c r="AX51" s="28" t="str">
        <f t="shared" ca="1" si="32"/>
        <v/>
      </c>
      <c r="AY51" s="28" t="str">
        <f t="shared" ca="1" si="32"/>
        <v/>
      </c>
      <c r="AZ51" s="28" t="str">
        <f t="shared" ca="1" si="32"/>
        <v/>
      </c>
      <c r="BA51" s="28" t="str">
        <f t="shared" ca="1" si="32"/>
        <v/>
      </c>
      <c r="BB51" s="28" t="str">
        <f t="shared" ca="1" si="32"/>
        <v/>
      </c>
      <c r="BC51" s="28" t="str">
        <f t="shared" ca="1" si="32"/>
        <v/>
      </c>
      <c r="BD51" s="28" t="str">
        <f t="shared" ca="1" si="33"/>
        <v/>
      </c>
      <c r="BE51" s="28" t="str">
        <f t="shared" ca="1" si="33"/>
        <v/>
      </c>
      <c r="BF51" s="28" t="str">
        <f t="shared" ca="1" si="33"/>
        <v/>
      </c>
      <c r="BG51" s="28" t="str">
        <f t="shared" ca="1" si="33"/>
        <v/>
      </c>
      <c r="BH51" s="28" t="str">
        <f t="shared" ca="1" si="33"/>
        <v/>
      </c>
      <c r="BI51" s="28" t="str">
        <f t="shared" ca="1" si="33"/>
        <v/>
      </c>
      <c r="BJ51" s="28" t="str">
        <f t="shared" ca="1" si="33"/>
        <v/>
      </c>
      <c r="BK51" s="28" t="str">
        <f t="shared" ca="1" si="33"/>
        <v/>
      </c>
      <c r="BL51" s="28" t="str">
        <f t="shared" si="33"/>
        <v/>
      </c>
    </row>
    <row r="52" spans="1:64" s="1" customFormat="1" ht="30" customHeight="1" x14ac:dyDescent="0.3">
      <c r="A52" s="10"/>
      <c r="B52" s="53" t="s">
        <v>16</v>
      </c>
      <c r="C52" s="26" t="s">
        <v>21</v>
      </c>
      <c r="D52" s="26"/>
      <c r="E52" s="24"/>
      <c r="F52" s="24">
        <f>E40</f>
        <v>45864</v>
      </c>
      <c r="G52" s="25">
        <v>19</v>
      </c>
      <c r="H52" s="28" t="str">
        <f t="shared" ca="1" si="31"/>
        <v/>
      </c>
      <c r="I52" s="28" t="str">
        <f t="shared" ca="1" si="30"/>
        <v/>
      </c>
      <c r="J52" s="28" t="str">
        <f t="shared" ca="1" si="30"/>
        <v/>
      </c>
      <c r="K52" s="28" t="str">
        <f t="shared" ca="1" si="30"/>
        <v/>
      </c>
      <c r="L52" s="28" t="str">
        <f t="shared" ca="1" si="30"/>
        <v/>
      </c>
      <c r="M52" s="28" t="str">
        <f t="shared" ca="1" si="30"/>
        <v/>
      </c>
      <c r="N52" s="28" t="str">
        <f t="shared" ca="1" si="30"/>
        <v/>
      </c>
      <c r="O52" s="28" t="str">
        <f t="shared" ca="1" si="30"/>
        <v/>
      </c>
      <c r="P52" s="28" t="str">
        <f t="shared" ca="1" si="30"/>
        <v/>
      </c>
      <c r="Q52" s="28" t="str">
        <f t="shared" ca="1" si="30"/>
        <v/>
      </c>
      <c r="R52" s="28" t="str">
        <f t="shared" ca="1" si="30"/>
        <v/>
      </c>
      <c r="S52" s="28" t="str">
        <f t="shared" ca="1" si="30"/>
        <v/>
      </c>
      <c r="T52" s="28" t="str">
        <f t="shared" ca="1" si="30"/>
        <v/>
      </c>
      <c r="U52" s="28" t="str">
        <f t="shared" ca="1" si="30"/>
        <v/>
      </c>
      <c r="V52" s="28" t="str">
        <f t="shared" ca="1" si="30"/>
        <v/>
      </c>
      <c r="W52" s="28" t="str">
        <f t="shared" ca="1" si="30"/>
        <v/>
      </c>
      <c r="X52" s="28" t="str">
        <f t="shared" ca="1" si="30"/>
        <v/>
      </c>
      <c r="Y52" s="28" t="str">
        <f t="shared" ca="1" si="34"/>
        <v/>
      </c>
      <c r="Z52" s="28" t="str">
        <f t="shared" ca="1" si="34"/>
        <v/>
      </c>
      <c r="AA52" s="28" t="str">
        <f t="shared" ca="1" si="34"/>
        <v/>
      </c>
      <c r="AB52" s="28" t="str">
        <f t="shared" ca="1" si="34"/>
        <v/>
      </c>
      <c r="AC52" s="28" t="str">
        <f t="shared" ca="1" si="34"/>
        <v/>
      </c>
      <c r="AD52" s="28" t="str">
        <f t="shared" ca="1" si="34"/>
        <v/>
      </c>
      <c r="AE52" s="28" t="str">
        <f t="shared" ca="1" si="34"/>
        <v/>
      </c>
      <c r="AF52" s="28" t="str">
        <f t="shared" ca="1" si="34"/>
        <v/>
      </c>
      <c r="AG52" s="28" t="str">
        <f t="shared" ca="1" si="34"/>
        <v/>
      </c>
      <c r="AH52" s="28" t="str">
        <f t="shared" ca="1" si="34"/>
        <v/>
      </c>
      <c r="AI52" s="28" t="str">
        <f t="shared" ca="1" si="34"/>
        <v/>
      </c>
      <c r="AJ52" s="28" t="str">
        <f t="shared" ca="1" si="34"/>
        <v/>
      </c>
      <c r="AK52" s="28" t="str">
        <f t="shared" ca="1" si="34"/>
        <v/>
      </c>
      <c r="AL52" s="28" t="str">
        <f t="shared" ca="1" si="34"/>
        <v/>
      </c>
      <c r="AM52" s="28" t="str">
        <f t="shared" ca="1" si="34"/>
        <v/>
      </c>
      <c r="AN52" s="28" t="str">
        <f t="shared" ca="1" si="32"/>
        <v/>
      </c>
      <c r="AO52" s="28" t="str">
        <f t="shared" ca="1" si="32"/>
        <v/>
      </c>
      <c r="AP52" s="28" t="str">
        <f t="shared" ca="1" si="32"/>
        <v/>
      </c>
      <c r="AQ52" s="28" t="str">
        <f t="shared" ca="1" si="32"/>
        <v/>
      </c>
      <c r="AR52" s="28" t="str">
        <f t="shared" ca="1" si="32"/>
        <v/>
      </c>
      <c r="AS52" s="28" t="str">
        <f t="shared" ca="1" si="32"/>
        <v/>
      </c>
      <c r="AT52" s="28" t="str">
        <f t="shared" ca="1" si="32"/>
        <v/>
      </c>
      <c r="AU52" s="28" t="str">
        <f t="shared" ca="1" si="32"/>
        <v/>
      </c>
      <c r="AV52" s="28" t="str">
        <f t="shared" ca="1" si="32"/>
        <v/>
      </c>
      <c r="AW52" s="28" t="str">
        <f t="shared" ca="1" si="32"/>
        <v/>
      </c>
      <c r="AX52" s="28" t="str">
        <f t="shared" ca="1" si="32"/>
        <v/>
      </c>
      <c r="AY52" s="28" t="str">
        <f t="shared" ca="1" si="32"/>
        <v/>
      </c>
      <c r="AZ52" s="28" t="str">
        <f t="shared" ca="1" si="32"/>
        <v/>
      </c>
      <c r="BA52" s="28" t="str">
        <f t="shared" ca="1" si="32"/>
        <v/>
      </c>
      <c r="BB52" s="28" t="str">
        <f t="shared" ca="1" si="32"/>
        <v/>
      </c>
      <c r="BC52" s="28" t="str">
        <f t="shared" ca="1" si="32"/>
        <v/>
      </c>
      <c r="BD52" s="28" t="str">
        <f t="shared" ca="1" si="33"/>
        <v/>
      </c>
      <c r="BE52" s="28" t="str">
        <f t="shared" ca="1" si="33"/>
        <v/>
      </c>
      <c r="BF52" s="28" t="str">
        <f t="shared" ca="1" si="33"/>
        <v/>
      </c>
      <c r="BG52" s="28" t="str">
        <f t="shared" ca="1" si="33"/>
        <v/>
      </c>
      <c r="BH52" s="28" t="str">
        <f t="shared" ca="1" si="33"/>
        <v/>
      </c>
      <c r="BI52" s="28" t="str">
        <f t="shared" ca="1" si="33"/>
        <v/>
      </c>
      <c r="BJ52" s="28" t="str">
        <f t="shared" ca="1" si="33"/>
        <v/>
      </c>
      <c r="BK52" s="28" t="str">
        <f t="shared" ca="1" si="33"/>
        <v/>
      </c>
      <c r="BL52" s="28" t="str">
        <f t="shared" si="33"/>
        <v/>
      </c>
    </row>
    <row r="53" spans="1:64" s="1" customFormat="1" ht="30" customHeight="1" x14ac:dyDescent="0.3">
      <c r="A53" s="10"/>
      <c r="B53" s="54" t="s">
        <v>19</v>
      </c>
      <c r="C53" s="26"/>
      <c r="D53" s="26"/>
      <c r="E53" s="24"/>
      <c r="F53" s="42"/>
      <c r="G53" s="42"/>
      <c r="H53" s="28" t="str">
        <f t="shared" ca="1" si="31"/>
        <v/>
      </c>
      <c r="I53" s="28" t="str">
        <f t="shared" ref="I53:X58" ca="1" si="35">IF(AND($C53="Objetivo",I$5&gt;=$F53,I$5&lt;=$F53+$G53-1),2,IF(AND($C53="Hito",I$5&gt;=$F53,I$5&lt;=$F53+$G53-1),1,""))</f>
        <v/>
      </c>
      <c r="J53" s="28" t="str">
        <f t="shared" ca="1" si="35"/>
        <v/>
      </c>
      <c r="K53" s="28" t="str">
        <f t="shared" ca="1" si="35"/>
        <v/>
      </c>
      <c r="L53" s="28" t="str">
        <f t="shared" ca="1" si="35"/>
        <v/>
      </c>
      <c r="M53" s="28" t="str">
        <f t="shared" ca="1" si="35"/>
        <v/>
      </c>
      <c r="N53" s="28" t="str">
        <f t="shared" ca="1" si="35"/>
        <v/>
      </c>
      <c r="O53" s="28" t="str">
        <f t="shared" ca="1" si="35"/>
        <v/>
      </c>
      <c r="P53" s="28" t="str">
        <f t="shared" ca="1" si="35"/>
        <v/>
      </c>
      <c r="Q53" s="28" t="str">
        <f t="shared" ca="1" si="35"/>
        <v/>
      </c>
      <c r="R53" s="28" t="str">
        <f t="shared" ca="1" si="35"/>
        <v/>
      </c>
      <c r="S53" s="28" t="str">
        <f t="shared" ca="1" si="35"/>
        <v/>
      </c>
      <c r="T53" s="28" t="str">
        <f t="shared" ca="1" si="35"/>
        <v/>
      </c>
      <c r="U53" s="28" t="str">
        <f t="shared" ca="1" si="35"/>
        <v/>
      </c>
      <c r="V53" s="28" t="str">
        <f t="shared" ca="1" si="35"/>
        <v/>
      </c>
      <c r="W53" s="28" t="str">
        <f t="shared" ca="1" si="35"/>
        <v/>
      </c>
      <c r="X53" s="28" t="str">
        <f t="shared" ca="1" si="35"/>
        <v/>
      </c>
      <c r="Y53" s="28" t="str">
        <f t="shared" ca="1" si="34"/>
        <v/>
      </c>
      <c r="Z53" s="28" t="str">
        <f t="shared" ca="1" si="34"/>
        <v/>
      </c>
      <c r="AA53" s="28" t="str">
        <f t="shared" ca="1" si="34"/>
        <v/>
      </c>
      <c r="AB53" s="28" t="str">
        <f t="shared" ca="1" si="34"/>
        <v/>
      </c>
      <c r="AC53" s="28" t="str">
        <f t="shared" ca="1" si="34"/>
        <v/>
      </c>
      <c r="AD53" s="28" t="str">
        <f t="shared" ca="1" si="34"/>
        <v/>
      </c>
      <c r="AE53" s="28" t="str">
        <f t="shared" ca="1" si="34"/>
        <v/>
      </c>
      <c r="AF53" s="28" t="str">
        <f t="shared" ca="1" si="34"/>
        <v/>
      </c>
      <c r="AG53" s="28" t="str">
        <f t="shared" ca="1" si="34"/>
        <v/>
      </c>
      <c r="AH53" s="28" t="str">
        <f t="shared" ca="1" si="34"/>
        <v/>
      </c>
      <c r="AI53" s="28" t="str">
        <f t="shared" ca="1" si="34"/>
        <v/>
      </c>
      <c r="AJ53" s="28" t="str">
        <f t="shared" ca="1" si="34"/>
        <v/>
      </c>
      <c r="AK53" s="28" t="str">
        <f t="shared" ca="1" si="34"/>
        <v/>
      </c>
      <c r="AL53" s="28" t="str">
        <f t="shared" ca="1" si="34"/>
        <v/>
      </c>
      <c r="AM53" s="28" t="str">
        <f t="shared" ca="1" si="34"/>
        <v/>
      </c>
      <c r="AN53" s="28" t="str">
        <f t="shared" ca="1" si="32"/>
        <v/>
      </c>
      <c r="AO53" s="28" t="str">
        <f t="shared" ca="1" si="32"/>
        <v/>
      </c>
      <c r="AP53" s="28" t="str">
        <f t="shared" ca="1" si="32"/>
        <v/>
      </c>
      <c r="AQ53" s="28" t="str">
        <f t="shared" ca="1" si="32"/>
        <v/>
      </c>
      <c r="AR53" s="28" t="str">
        <f t="shared" ca="1" si="32"/>
        <v/>
      </c>
      <c r="AS53" s="28" t="str">
        <f t="shared" ca="1" si="32"/>
        <v/>
      </c>
      <c r="AT53" s="28" t="str">
        <f t="shared" ca="1" si="32"/>
        <v/>
      </c>
      <c r="AU53" s="28" t="str">
        <f t="shared" ca="1" si="32"/>
        <v/>
      </c>
      <c r="AV53" s="28" t="str">
        <f t="shared" ca="1" si="32"/>
        <v/>
      </c>
      <c r="AW53" s="28" t="str">
        <f t="shared" ca="1" si="32"/>
        <v/>
      </c>
      <c r="AX53" s="28" t="str">
        <f t="shared" ca="1" si="32"/>
        <v/>
      </c>
      <c r="AY53" s="28" t="str">
        <f t="shared" ca="1" si="32"/>
        <v/>
      </c>
      <c r="AZ53" s="28" t="str">
        <f t="shared" ca="1" si="32"/>
        <v/>
      </c>
      <c r="BA53" s="28" t="str">
        <f t="shared" ca="1" si="32"/>
        <v/>
      </c>
      <c r="BB53" s="28" t="str">
        <f t="shared" ca="1" si="32"/>
        <v/>
      </c>
      <c r="BC53" s="28" t="str">
        <f t="shared" ca="1" si="32"/>
        <v/>
      </c>
      <c r="BD53" s="28" t="str">
        <f t="shared" ca="1" si="33"/>
        <v/>
      </c>
      <c r="BE53" s="28" t="str">
        <f t="shared" ca="1" si="33"/>
        <v/>
      </c>
      <c r="BF53" s="28" t="str">
        <f t="shared" ca="1" si="33"/>
        <v/>
      </c>
      <c r="BG53" s="28" t="str">
        <f t="shared" ca="1" si="33"/>
        <v/>
      </c>
      <c r="BH53" s="28" t="str">
        <f t="shared" ca="1" si="33"/>
        <v/>
      </c>
      <c r="BI53" s="28" t="str">
        <f t="shared" ca="1" si="33"/>
        <v/>
      </c>
      <c r="BJ53" s="28" t="str">
        <f t="shared" ca="1" si="33"/>
        <v/>
      </c>
      <c r="BK53" s="28" t="str">
        <f t="shared" ca="1" si="33"/>
        <v/>
      </c>
      <c r="BL53" s="28" t="str">
        <f t="shared" si="33"/>
        <v/>
      </c>
    </row>
    <row r="54" spans="1:64" s="1" customFormat="1" ht="30" customHeight="1" x14ac:dyDescent="0.3">
      <c r="A54" s="10"/>
      <c r="B54" s="53" t="s">
        <v>12</v>
      </c>
      <c r="C54" s="26"/>
      <c r="D54" s="26"/>
      <c r="E54" s="24"/>
      <c r="F54" s="24">
        <f>F51+3</f>
        <v>45898</v>
      </c>
      <c r="G54" s="25">
        <v>15</v>
      </c>
      <c r="H54" s="28" t="str">
        <f t="shared" ca="1" si="31"/>
        <v/>
      </c>
      <c r="I54" s="28" t="str">
        <f t="shared" ca="1" si="35"/>
        <v/>
      </c>
      <c r="J54" s="28" t="str">
        <f t="shared" ca="1" si="35"/>
        <v/>
      </c>
      <c r="K54" s="28" t="str">
        <f t="shared" ca="1" si="35"/>
        <v/>
      </c>
      <c r="L54" s="28" t="str">
        <f t="shared" ca="1" si="35"/>
        <v/>
      </c>
      <c r="M54" s="28" t="str">
        <f t="shared" ca="1" si="35"/>
        <v/>
      </c>
      <c r="N54" s="28" t="str">
        <f t="shared" ca="1" si="35"/>
        <v/>
      </c>
      <c r="O54" s="28" t="str">
        <f t="shared" ca="1" si="35"/>
        <v/>
      </c>
      <c r="P54" s="28" t="str">
        <f t="shared" ca="1" si="35"/>
        <v/>
      </c>
      <c r="Q54" s="28" t="str">
        <f t="shared" ca="1" si="35"/>
        <v/>
      </c>
      <c r="R54" s="28" t="str">
        <f t="shared" ca="1" si="35"/>
        <v/>
      </c>
      <c r="S54" s="28" t="str">
        <f t="shared" ca="1" si="35"/>
        <v/>
      </c>
      <c r="T54" s="28" t="str">
        <f t="shared" ca="1" si="35"/>
        <v/>
      </c>
      <c r="U54" s="28" t="str">
        <f t="shared" ca="1" si="35"/>
        <v/>
      </c>
      <c r="V54" s="28" t="str">
        <f t="shared" ca="1" si="35"/>
        <v/>
      </c>
      <c r="W54" s="28" t="str">
        <f t="shared" ca="1" si="35"/>
        <v/>
      </c>
      <c r="X54" s="28" t="str">
        <f t="shared" ca="1" si="35"/>
        <v/>
      </c>
      <c r="Y54" s="28" t="str">
        <f t="shared" ca="1" si="34"/>
        <v/>
      </c>
      <c r="Z54" s="28" t="str">
        <f t="shared" ca="1" si="34"/>
        <v/>
      </c>
      <c r="AA54" s="28" t="str">
        <f t="shared" ca="1" si="34"/>
        <v/>
      </c>
      <c r="AB54" s="28" t="str">
        <f t="shared" ca="1" si="34"/>
        <v/>
      </c>
      <c r="AC54" s="28" t="str">
        <f t="shared" ca="1" si="34"/>
        <v/>
      </c>
      <c r="AD54" s="28" t="str">
        <f t="shared" ca="1" si="34"/>
        <v/>
      </c>
      <c r="AE54" s="28" t="str">
        <f t="shared" ca="1" si="34"/>
        <v/>
      </c>
      <c r="AF54" s="28" t="str">
        <f t="shared" ca="1" si="34"/>
        <v/>
      </c>
      <c r="AG54" s="28" t="str">
        <f t="shared" ca="1" si="34"/>
        <v/>
      </c>
      <c r="AH54" s="28" t="str">
        <f t="shared" ca="1" si="34"/>
        <v/>
      </c>
      <c r="AI54" s="28" t="str">
        <f t="shared" ca="1" si="34"/>
        <v/>
      </c>
      <c r="AJ54" s="28" t="str">
        <f t="shared" ca="1" si="34"/>
        <v/>
      </c>
      <c r="AK54" s="28" t="str">
        <f t="shared" ca="1" si="34"/>
        <v/>
      </c>
      <c r="AL54" s="28" t="str">
        <f t="shared" ca="1" si="34"/>
        <v/>
      </c>
      <c r="AM54" s="28" t="str">
        <f t="shared" ca="1" si="34"/>
        <v/>
      </c>
      <c r="AN54" s="28" t="str">
        <f t="shared" ca="1" si="32"/>
        <v/>
      </c>
      <c r="AO54" s="28" t="str">
        <f t="shared" ca="1" si="32"/>
        <v/>
      </c>
      <c r="AP54" s="28" t="str">
        <f t="shared" ca="1" si="32"/>
        <v/>
      </c>
      <c r="AQ54" s="28" t="str">
        <f t="shared" ca="1" si="32"/>
        <v/>
      </c>
      <c r="AR54" s="28" t="str">
        <f t="shared" ca="1" si="32"/>
        <v/>
      </c>
      <c r="AS54" s="28" t="str">
        <f t="shared" ca="1" si="32"/>
        <v/>
      </c>
      <c r="AT54" s="28" t="str">
        <f t="shared" ca="1" si="32"/>
        <v/>
      </c>
      <c r="AU54" s="28" t="str">
        <f t="shared" ca="1" si="32"/>
        <v/>
      </c>
      <c r="AV54" s="28" t="str">
        <f t="shared" ca="1" si="32"/>
        <v/>
      </c>
      <c r="AW54" s="28" t="str">
        <f t="shared" ca="1" si="32"/>
        <v/>
      </c>
      <c r="AX54" s="28" t="str">
        <f t="shared" ca="1" si="32"/>
        <v/>
      </c>
      <c r="AY54" s="28" t="str">
        <f t="shared" ca="1" si="32"/>
        <v/>
      </c>
      <c r="AZ54" s="28" t="str">
        <f t="shared" ca="1" si="32"/>
        <v/>
      </c>
      <c r="BA54" s="28" t="str">
        <f t="shared" ca="1" si="32"/>
        <v/>
      </c>
      <c r="BB54" s="28" t="str">
        <f t="shared" ca="1" si="32"/>
        <v/>
      </c>
      <c r="BC54" s="28" t="str">
        <f t="shared" ca="1" si="32"/>
        <v/>
      </c>
      <c r="BD54" s="28" t="str">
        <f t="shared" ca="1" si="33"/>
        <v/>
      </c>
      <c r="BE54" s="28" t="str">
        <f t="shared" ca="1" si="33"/>
        <v/>
      </c>
      <c r="BF54" s="28" t="str">
        <f t="shared" ca="1" si="33"/>
        <v/>
      </c>
      <c r="BG54" s="28" t="str">
        <f t="shared" ca="1" si="33"/>
        <v/>
      </c>
      <c r="BH54" s="28" t="str">
        <f t="shared" ca="1" si="33"/>
        <v/>
      </c>
      <c r="BI54" s="28" t="str">
        <f t="shared" ca="1" si="33"/>
        <v/>
      </c>
      <c r="BJ54" s="28" t="str">
        <f t="shared" ca="1" si="33"/>
        <v/>
      </c>
      <c r="BK54" s="28" t="str">
        <f t="shared" ca="1" si="33"/>
        <v/>
      </c>
      <c r="BL54" s="28" t="str">
        <f t="shared" si="33"/>
        <v/>
      </c>
    </row>
    <row r="55" spans="1:64" s="1" customFormat="1" ht="30" customHeight="1" x14ac:dyDescent="0.3">
      <c r="A55" s="10"/>
      <c r="B55" s="53" t="s">
        <v>13</v>
      </c>
      <c r="C55" s="26"/>
      <c r="D55" s="26"/>
      <c r="E55" s="24"/>
      <c r="F55" s="24">
        <v>43288</v>
      </c>
      <c r="G55" s="25">
        <v>5</v>
      </c>
      <c r="H55" s="28" t="str">
        <f t="shared" ca="1" si="31"/>
        <v/>
      </c>
      <c r="I55" s="28" t="str">
        <f t="shared" ca="1" si="35"/>
        <v/>
      </c>
      <c r="J55" s="28" t="str">
        <f t="shared" ca="1" si="35"/>
        <v/>
      </c>
      <c r="K55" s="28" t="str">
        <f t="shared" ca="1" si="35"/>
        <v/>
      </c>
      <c r="L55" s="28" t="str">
        <f t="shared" ca="1" si="35"/>
        <v/>
      </c>
      <c r="M55" s="28" t="str">
        <f t="shared" ca="1" si="35"/>
        <v/>
      </c>
      <c r="N55" s="28" t="str">
        <f t="shared" ca="1" si="35"/>
        <v/>
      </c>
      <c r="O55" s="28" t="str">
        <f t="shared" ca="1" si="35"/>
        <v/>
      </c>
      <c r="P55" s="28" t="str">
        <f t="shared" ca="1" si="35"/>
        <v/>
      </c>
      <c r="Q55" s="28" t="str">
        <f t="shared" ca="1" si="35"/>
        <v/>
      </c>
      <c r="R55" s="28" t="str">
        <f t="shared" ca="1" si="35"/>
        <v/>
      </c>
      <c r="S55" s="28" t="str">
        <f t="shared" ca="1" si="35"/>
        <v/>
      </c>
      <c r="T55" s="28" t="str">
        <f t="shared" ca="1" si="35"/>
        <v/>
      </c>
      <c r="U55" s="28" t="str">
        <f t="shared" ca="1" si="35"/>
        <v/>
      </c>
      <c r="V55" s="28" t="str">
        <f t="shared" ca="1" si="35"/>
        <v/>
      </c>
      <c r="W55" s="28" t="str">
        <f t="shared" ca="1" si="35"/>
        <v/>
      </c>
      <c r="X55" s="28" t="str">
        <f t="shared" ca="1" si="35"/>
        <v/>
      </c>
      <c r="Y55" s="28" t="str">
        <f t="shared" ca="1" si="34"/>
        <v/>
      </c>
      <c r="Z55" s="28" t="str">
        <f t="shared" ca="1" si="34"/>
        <v/>
      </c>
      <c r="AA55" s="28" t="str">
        <f t="shared" ca="1" si="34"/>
        <v/>
      </c>
      <c r="AB55" s="28" t="str">
        <f t="shared" ca="1" si="34"/>
        <v/>
      </c>
      <c r="AC55" s="28" t="str">
        <f t="shared" ca="1" si="34"/>
        <v/>
      </c>
      <c r="AD55" s="28" t="str">
        <f t="shared" ca="1" si="34"/>
        <v/>
      </c>
      <c r="AE55" s="28" t="str">
        <f t="shared" ca="1" si="34"/>
        <v/>
      </c>
      <c r="AF55" s="28" t="str">
        <f t="shared" ca="1" si="34"/>
        <v/>
      </c>
      <c r="AG55" s="28" t="str">
        <f t="shared" ca="1" si="34"/>
        <v/>
      </c>
      <c r="AH55" s="28" t="str">
        <f t="shared" ca="1" si="34"/>
        <v/>
      </c>
      <c r="AI55" s="28" t="str">
        <f t="shared" ca="1" si="34"/>
        <v/>
      </c>
      <c r="AJ55" s="28" t="str">
        <f t="shared" ca="1" si="34"/>
        <v/>
      </c>
      <c r="AK55" s="28" t="str">
        <f t="shared" ca="1" si="34"/>
        <v/>
      </c>
      <c r="AL55" s="28" t="str">
        <f t="shared" ca="1" si="34"/>
        <v/>
      </c>
      <c r="AM55" s="28" t="str">
        <f t="shared" ca="1" si="34"/>
        <v/>
      </c>
      <c r="AN55" s="28" t="str">
        <f t="shared" ca="1" si="32"/>
        <v/>
      </c>
      <c r="AO55" s="28" t="str">
        <f t="shared" ca="1" si="32"/>
        <v/>
      </c>
      <c r="AP55" s="28" t="str">
        <f t="shared" ca="1" si="32"/>
        <v/>
      </c>
      <c r="AQ55" s="28" t="str">
        <f t="shared" ca="1" si="32"/>
        <v/>
      </c>
      <c r="AR55" s="28" t="str">
        <f t="shared" ca="1" si="32"/>
        <v/>
      </c>
      <c r="AS55" s="28" t="str">
        <f t="shared" ca="1" si="32"/>
        <v/>
      </c>
      <c r="AT55" s="28" t="str">
        <f t="shared" ca="1" si="32"/>
        <v/>
      </c>
      <c r="AU55" s="28" t="str">
        <f t="shared" ca="1" si="32"/>
        <v/>
      </c>
      <c r="AV55" s="28" t="str">
        <f t="shared" ca="1" si="32"/>
        <v/>
      </c>
      <c r="AW55" s="28" t="str">
        <f t="shared" ca="1" si="32"/>
        <v/>
      </c>
      <c r="AX55" s="28" t="str">
        <f t="shared" ca="1" si="32"/>
        <v/>
      </c>
      <c r="AY55" s="28" t="str">
        <f t="shared" ca="1" si="32"/>
        <v/>
      </c>
      <c r="AZ55" s="28" t="str">
        <f t="shared" ca="1" si="32"/>
        <v/>
      </c>
      <c r="BA55" s="28" t="str">
        <f t="shared" ca="1" si="32"/>
        <v/>
      </c>
      <c r="BB55" s="28" t="str">
        <f t="shared" ca="1" si="32"/>
        <v/>
      </c>
      <c r="BC55" s="28" t="str">
        <f t="shared" ca="1" si="32"/>
        <v/>
      </c>
      <c r="BD55" s="28" t="str">
        <f t="shared" ca="1" si="33"/>
        <v/>
      </c>
      <c r="BE55" s="28" t="str">
        <f t="shared" ca="1" si="33"/>
        <v/>
      </c>
      <c r="BF55" s="28" t="str">
        <f t="shared" ca="1" si="33"/>
        <v/>
      </c>
      <c r="BG55" s="28" t="str">
        <f t="shared" ca="1" si="33"/>
        <v/>
      </c>
      <c r="BH55" s="28" t="str">
        <f t="shared" ca="1" si="33"/>
        <v/>
      </c>
      <c r="BI55" s="28" t="str">
        <f t="shared" ca="1" si="33"/>
        <v/>
      </c>
      <c r="BJ55" s="28" t="str">
        <f t="shared" ca="1" si="33"/>
        <v/>
      </c>
      <c r="BK55" s="28" t="str">
        <f t="shared" ca="1" si="33"/>
        <v/>
      </c>
      <c r="BL55" s="28" t="str">
        <f t="shared" si="33"/>
        <v/>
      </c>
    </row>
    <row r="56" spans="1:64" s="1" customFormat="1" ht="30" customHeight="1" x14ac:dyDescent="0.3">
      <c r="A56" s="10"/>
      <c r="B56" s="53" t="s">
        <v>14</v>
      </c>
      <c r="C56" s="26" t="s">
        <v>65</v>
      </c>
      <c r="D56" s="26"/>
      <c r="E56" s="24"/>
      <c r="F56" s="24">
        <v>43306</v>
      </c>
      <c r="G56" s="25">
        <v>1</v>
      </c>
      <c r="H56" s="28" t="str">
        <f t="shared" ca="1" si="31"/>
        <v/>
      </c>
      <c r="I56" s="28" t="str">
        <f t="shared" ca="1" si="35"/>
        <v/>
      </c>
      <c r="J56" s="28" t="str">
        <f t="shared" ca="1" si="35"/>
        <v/>
      </c>
      <c r="K56" s="28" t="str">
        <f t="shared" ca="1" si="35"/>
        <v/>
      </c>
      <c r="L56" s="28" t="str">
        <f t="shared" ca="1" si="35"/>
        <v/>
      </c>
      <c r="M56" s="28" t="str">
        <f t="shared" ca="1" si="35"/>
        <v/>
      </c>
      <c r="N56" s="28" t="str">
        <f t="shared" ca="1" si="35"/>
        <v/>
      </c>
      <c r="O56" s="28" t="str">
        <f t="shared" ca="1" si="35"/>
        <v/>
      </c>
      <c r="P56" s="28" t="str">
        <f t="shared" ca="1" si="35"/>
        <v/>
      </c>
      <c r="Q56" s="28" t="str">
        <f t="shared" ca="1" si="35"/>
        <v/>
      </c>
      <c r="R56" s="28" t="str">
        <f t="shared" ca="1" si="35"/>
        <v/>
      </c>
      <c r="S56" s="28" t="str">
        <f t="shared" ca="1" si="35"/>
        <v/>
      </c>
      <c r="T56" s="28" t="str">
        <f t="shared" ca="1" si="35"/>
        <v/>
      </c>
      <c r="U56" s="28" t="str">
        <f t="shared" ca="1" si="35"/>
        <v/>
      </c>
      <c r="V56" s="28" t="str">
        <f t="shared" ca="1" si="35"/>
        <v/>
      </c>
      <c r="W56" s="28" t="str">
        <f t="shared" ca="1" si="35"/>
        <v/>
      </c>
      <c r="X56" s="28" t="str">
        <f t="shared" ca="1" si="35"/>
        <v/>
      </c>
      <c r="Y56" s="28" t="str">
        <f t="shared" ca="1" si="34"/>
        <v/>
      </c>
      <c r="Z56" s="28" t="str">
        <f t="shared" ca="1" si="34"/>
        <v/>
      </c>
      <c r="AA56" s="28" t="str">
        <f t="shared" ca="1" si="34"/>
        <v/>
      </c>
      <c r="AB56" s="28" t="str">
        <f t="shared" ca="1" si="34"/>
        <v/>
      </c>
      <c r="AC56" s="28" t="str">
        <f t="shared" ca="1" si="34"/>
        <v/>
      </c>
      <c r="AD56" s="28" t="str">
        <f t="shared" ca="1" si="34"/>
        <v/>
      </c>
      <c r="AE56" s="28" t="str">
        <f t="shared" ca="1" si="34"/>
        <v/>
      </c>
      <c r="AF56" s="28" t="str">
        <f t="shared" ca="1" si="34"/>
        <v/>
      </c>
      <c r="AG56" s="28" t="str">
        <f t="shared" ca="1" si="34"/>
        <v/>
      </c>
      <c r="AH56" s="28" t="str">
        <f t="shared" ca="1" si="34"/>
        <v/>
      </c>
      <c r="AI56" s="28" t="str">
        <f t="shared" ca="1" si="34"/>
        <v/>
      </c>
      <c r="AJ56" s="28" t="str">
        <f t="shared" ca="1" si="34"/>
        <v/>
      </c>
      <c r="AK56" s="28" t="str">
        <f t="shared" ca="1" si="34"/>
        <v/>
      </c>
      <c r="AL56" s="28" t="str">
        <f t="shared" ca="1" si="34"/>
        <v/>
      </c>
      <c r="AM56" s="28" t="str">
        <f t="shared" ca="1" si="34"/>
        <v/>
      </c>
      <c r="AN56" s="28" t="str">
        <f t="shared" ca="1" si="32"/>
        <v/>
      </c>
      <c r="AO56" s="28" t="str">
        <f t="shared" ca="1" si="32"/>
        <v/>
      </c>
      <c r="AP56" s="28" t="str">
        <f t="shared" ca="1" si="32"/>
        <v/>
      </c>
      <c r="AQ56" s="28" t="str">
        <f t="shared" ca="1" si="32"/>
        <v/>
      </c>
      <c r="AR56" s="28" t="str">
        <f t="shared" ca="1" si="32"/>
        <v/>
      </c>
      <c r="AS56" s="28" t="str">
        <f t="shared" ca="1" si="32"/>
        <v/>
      </c>
      <c r="AT56" s="28" t="str">
        <f t="shared" ca="1" si="32"/>
        <v/>
      </c>
      <c r="AU56" s="28" t="str">
        <f t="shared" ca="1" si="32"/>
        <v/>
      </c>
      <c r="AV56" s="28" t="str">
        <f t="shared" ca="1" si="32"/>
        <v/>
      </c>
      <c r="AW56" s="28" t="str">
        <f t="shared" ca="1" si="32"/>
        <v/>
      </c>
      <c r="AX56" s="28" t="str">
        <f t="shared" ca="1" si="32"/>
        <v/>
      </c>
      <c r="AY56" s="28" t="str">
        <f t="shared" ca="1" si="32"/>
        <v/>
      </c>
      <c r="AZ56" s="28" t="str">
        <f t="shared" ca="1" si="32"/>
        <v/>
      </c>
      <c r="BA56" s="28" t="str">
        <f t="shared" ca="1" si="32"/>
        <v/>
      </c>
      <c r="BB56" s="28" t="str">
        <f t="shared" ca="1" si="32"/>
        <v/>
      </c>
      <c r="BC56" s="28" t="str">
        <f t="shared" ca="1" si="32"/>
        <v/>
      </c>
      <c r="BD56" s="28" t="str">
        <f t="shared" ca="1" si="33"/>
        <v/>
      </c>
      <c r="BE56" s="28" t="str">
        <f t="shared" ca="1" si="33"/>
        <v/>
      </c>
      <c r="BF56" s="28" t="str">
        <f t="shared" ca="1" si="33"/>
        <v/>
      </c>
      <c r="BG56" s="28" t="str">
        <f t="shared" ca="1" si="33"/>
        <v/>
      </c>
      <c r="BH56" s="28" t="str">
        <f t="shared" ca="1" si="33"/>
        <v/>
      </c>
      <c r="BI56" s="28" t="str">
        <f t="shared" ca="1" si="33"/>
        <v/>
      </c>
      <c r="BJ56" s="28" t="str">
        <f t="shared" ca="1" si="33"/>
        <v/>
      </c>
      <c r="BK56" s="28" t="str">
        <f t="shared" ca="1" si="33"/>
        <v/>
      </c>
      <c r="BL56" s="28" t="str">
        <f t="shared" si="33"/>
        <v/>
      </c>
    </row>
    <row r="57" spans="1:64" s="1" customFormat="1" ht="30" customHeight="1" x14ac:dyDescent="0.3">
      <c r="A57" s="10"/>
      <c r="B57" s="53" t="s">
        <v>15</v>
      </c>
      <c r="C57" s="26"/>
      <c r="D57" s="26"/>
      <c r="E57" s="24"/>
      <c r="F57" s="24"/>
      <c r="G57" s="25"/>
      <c r="H57" s="28" t="str">
        <f t="shared" ca="1" si="31"/>
        <v/>
      </c>
      <c r="I57" s="28" t="str">
        <f t="shared" ca="1" si="35"/>
        <v/>
      </c>
      <c r="J57" s="28" t="str">
        <f t="shared" ca="1" si="35"/>
        <v/>
      </c>
      <c r="K57" s="28" t="str">
        <f t="shared" ca="1" si="35"/>
        <v/>
      </c>
      <c r="L57" s="28" t="str">
        <f t="shared" ca="1" si="35"/>
        <v/>
      </c>
      <c r="M57" s="28" t="str">
        <f t="shared" ca="1" si="35"/>
        <v/>
      </c>
      <c r="N57" s="28" t="str">
        <f t="shared" ca="1" si="35"/>
        <v/>
      </c>
      <c r="O57" s="28" t="str">
        <f t="shared" ca="1" si="35"/>
        <v/>
      </c>
      <c r="P57" s="28" t="str">
        <f t="shared" ca="1" si="35"/>
        <v/>
      </c>
      <c r="Q57" s="28" t="str">
        <f t="shared" ca="1" si="35"/>
        <v/>
      </c>
      <c r="R57" s="28" t="str">
        <f t="shared" ca="1" si="35"/>
        <v/>
      </c>
      <c r="S57" s="28" t="str">
        <f t="shared" ca="1" si="35"/>
        <v/>
      </c>
      <c r="T57" s="28" t="str">
        <f t="shared" ca="1" si="35"/>
        <v/>
      </c>
      <c r="U57" s="28" t="str">
        <f t="shared" ca="1" si="35"/>
        <v/>
      </c>
      <c r="V57" s="28" t="str">
        <f t="shared" ca="1" si="35"/>
        <v/>
      </c>
      <c r="W57" s="28" t="str">
        <f t="shared" ca="1" si="35"/>
        <v/>
      </c>
      <c r="X57" s="28" t="str">
        <f t="shared" ca="1" si="35"/>
        <v/>
      </c>
      <c r="Y57" s="28" t="str">
        <f t="shared" ca="1" si="34"/>
        <v/>
      </c>
      <c r="Z57" s="28" t="str">
        <f t="shared" ca="1" si="34"/>
        <v/>
      </c>
      <c r="AA57" s="28" t="str">
        <f t="shared" ca="1" si="34"/>
        <v/>
      </c>
      <c r="AB57" s="28" t="str">
        <f t="shared" ca="1" si="34"/>
        <v/>
      </c>
      <c r="AC57" s="28" t="str">
        <f t="shared" ca="1" si="34"/>
        <v/>
      </c>
      <c r="AD57" s="28" t="str">
        <f t="shared" ca="1" si="34"/>
        <v/>
      </c>
      <c r="AE57" s="28" t="str">
        <f t="shared" ca="1" si="34"/>
        <v/>
      </c>
      <c r="AF57" s="28" t="str">
        <f t="shared" ca="1" si="34"/>
        <v/>
      </c>
      <c r="AG57" s="28" t="str">
        <f t="shared" ca="1" si="34"/>
        <v/>
      </c>
      <c r="AH57" s="28" t="str">
        <f t="shared" ca="1" si="34"/>
        <v/>
      </c>
      <c r="AI57" s="28" t="str">
        <f t="shared" ca="1" si="34"/>
        <v/>
      </c>
      <c r="AJ57" s="28" t="str">
        <f t="shared" ca="1" si="34"/>
        <v/>
      </c>
      <c r="AK57" s="28" t="str">
        <f t="shared" ca="1" si="34"/>
        <v/>
      </c>
      <c r="AL57" s="28" t="str">
        <f t="shared" ca="1" si="34"/>
        <v/>
      </c>
      <c r="AM57" s="28" t="str">
        <f t="shared" ca="1" si="34"/>
        <v/>
      </c>
      <c r="AN57" s="28" t="str">
        <f t="shared" ca="1" si="32"/>
        <v/>
      </c>
      <c r="AO57" s="28" t="str">
        <f t="shared" ca="1" si="32"/>
        <v/>
      </c>
      <c r="AP57" s="28" t="str">
        <f t="shared" ca="1" si="32"/>
        <v/>
      </c>
      <c r="AQ57" s="28" t="str">
        <f t="shared" ca="1" si="32"/>
        <v/>
      </c>
      <c r="AR57" s="28" t="str">
        <f t="shared" ca="1" si="32"/>
        <v/>
      </c>
      <c r="AS57" s="28" t="str">
        <f t="shared" ca="1" si="32"/>
        <v/>
      </c>
      <c r="AT57" s="28" t="str">
        <f t="shared" ca="1" si="32"/>
        <v/>
      </c>
      <c r="AU57" s="28" t="str">
        <f t="shared" ca="1" si="32"/>
        <v/>
      </c>
      <c r="AV57" s="28" t="str">
        <f t="shared" ca="1" si="32"/>
        <v/>
      </c>
      <c r="AW57" s="28" t="str">
        <f t="shared" ca="1" si="32"/>
        <v/>
      </c>
      <c r="AX57" s="28" t="str">
        <f t="shared" ca="1" si="32"/>
        <v/>
      </c>
      <c r="AY57" s="28" t="str">
        <f t="shared" ca="1" si="32"/>
        <v/>
      </c>
      <c r="AZ57" s="28" t="str">
        <f t="shared" ca="1" si="32"/>
        <v/>
      </c>
      <c r="BA57" s="28" t="str">
        <f t="shared" ca="1" si="32"/>
        <v/>
      </c>
      <c r="BB57" s="28" t="str">
        <f t="shared" ca="1" si="32"/>
        <v/>
      </c>
      <c r="BC57" s="28" t="str">
        <f t="shared" ca="1" si="32"/>
        <v/>
      </c>
      <c r="BD57" s="28" t="str">
        <f t="shared" ca="1" si="33"/>
        <v/>
      </c>
      <c r="BE57" s="28" t="str">
        <f t="shared" ca="1" si="33"/>
        <v/>
      </c>
      <c r="BF57" s="28" t="str">
        <f t="shared" ca="1" si="33"/>
        <v/>
      </c>
      <c r="BG57" s="28" t="str">
        <f t="shared" ca="1" si="33"/>
        <v/>
      </c>
      <c r="BH57" s="28" t="str">
        <f t="shared" ca="1" si="33"/>
        <v/>
      </c>
      <c r="BI57" s="28" t="str">
        <f t="shared" ca="1" si="33"/>
        <v/>
      </c>
      <c r="BJ57" s="28" t="str">
        <f t="shared" ca="1" si="33"/>
        <v/>
      </c>
      <c r="BK57" s="28" t="str">
        <f t="shared" ca="1" si="33"/>
        <v/>
      </c>
      <c r="BL57" s="28" t="str">
        <f t="shared" si="33"/>
        <v/>
      </c>
    </row>
    <row r="58" spans="1:64" s="1" customFormat="1" ht="30" customHeight="1" x14ac:dyDescent="0.3">
      <c r="A58" s="10"/>
      <c r="B58" s="53" t="s">
        <v>16</v>
      </c>
      <c r="C58" s="26"/>
      <c r="D58" s="26"/>
      <c r="E58" s="24"/>
      <c r="F58" s="24"/>
      <c r="G58" s="25"/>
      <c r="H58" s="28" t="str">
        <f t="shared" ca="1" si="31"/>
        <v/>
      </c>
      <c r="I58" s="28" t="str">
        <f t="shared" ca="1" si="35"/>
        <v/>
      </c>
      <c r="J58" s="28" t="str">
        <f t="shared" ca="1" si="35"/>
        <v/>
      </c>
      <c r="K58" s="28" t="str">
        <f t="shared" ca="1" si="35"/>
        <v/>
      </c>
      <c r="L58" s="28" t="str">
        <f t="shared" ca="1" si="35"/>
        <v/>
      </c>
      <c r="M58" s="28" t="str">
        <f t="shared" ca="1" si="35"/>
        <v/>
      </c>
      <c r="N58" s="28" t="str">
        <f t="shared" ca="1" si="35"/>
        <v/>
      </c>
      <c r="O58" s="28" t="str">
        <f t="shared" ca="1" si="35"/>
        <v/>
      </c>
      <c r="P58" s="28" t="str">
        <f t="shared" ca="1" si="35"/>
        <v/>
      </c>
      <c r="Q58" s="28" t="str">
        <f t="shared" ca="1" si="35"/>
        <v/>
      </c>
      <c r="R58" s="28" t="str">
        <f t="shared" ca="1" si="35"/>
        <v/>
      </c>
      <c r="S58" s="28" t="str">
        <f t="shared" ca="1" si="35"/>
        <v/>
      </c>
      <c r="T58" s="28" t="str">
        <f t="shared" ca="1" si="35"/>
        <v/>
      </c>
      <c r="U58" s="28" t="str">
        <f t="shared" ca="1" si="35"/>
        <v/>
      </c>
      <c r="V58" s="28" t="str">
        <f t="shared" ca="1" si="35"/>
        <v/>
      </c>
      <c r="W58" s="28" t="str">
        <f t="shared" ca="1" si="35"/>
        <v/>
      </c>
      <c r="X58" s="28" t="str">
        <f t="shared" ca="1" si="35"/>
        <v/>
      </c>
      <c r="Y58" s="28" t="str">
        <f t="shared" ca="1" si="34"/>
        <v/>
      </c>
      <c r="Z58" s="28" t="str">
        <f t="shared" ca="1" si="34"/>
        <v/>
      </c>
      <c r="AA58" s="28" t="str">
        <f t="shared" ca="1" si="34"/>
        <v/>
      </c>
      <c r="AB58" s="28" t="str">
        <f t="shared" ca="1" si="34"/>
        <v/>
      </c>
      <c r="AC58" s="28" t="str">
        <f t="shared" ca="1" si="34"/>
        <v/>
      </c>
      <c r="AD58" s="28" t="str">
        <f t="shared" ca="1" si="34"/>
        <v/>
      </c>
      <c r="AE58" s="28" t="str">
        <f t="shared" ca="1" si="34"/>
        <v/>
      </c>
      <c r="AF58" s="28" t="str">
        <f t="shared" ca="1" si="34"/>
        <v/>
      </c>
      <c r="AG58" s="28" t="str">
        <f t="shared" ca="1" si="34"/>
        <v/>
      </c>
      <c r="AH58" s="28" t="str">
        <f t="shared" ca="1" si="34"/>
        <v/>
      </c>
      <c r="AI58" s="28" t="str">
        <f t="shared" ca="1" si="34"/>
        <v/>
      </c>
      <c r="AJ58" s="28" t="str">
        <f t="shared" ca="1" si="34"/>
        <v/>
      </c>
      <c r="AK58" s="28" t="str">
        <f t="shared" ca="1" si="34"/>
        <v/>
      </c>
      <c r="AL58" s="28" t="str">
        <f t="shared" ca="1" si="34"/>
        <v/>
      </c>
      <c r="AM58" s="28" t="str">
        <f t="shared" ca="1" si="34"/>
        <v/>
      </c>
      <c r="AN58" s="28" t="str">
        <f t="shared" ca="1" si="32"/>
        <v/>
      </c>
      <c r="AO58" s="28" t="str">
        <f t="shared" ca="1" si="32"/>
        <v/>
      </c>
      <c r="AP58" s="28" t="str">
        <f t="shared" ca="1" si="32"/>
        <v/>
      </c>
      <c r="AQ58" s="28" t="str">
        <f t="shared" ca="1" si="32"/>
        <v/>
      </c>
      <c r="AR58" s="28" t="str">
        <f t="shared" ca="1" si="32"/>
        <v/>
      </c>
      <c r="AS58" s="28" t="str">
        <f t="shared" ca="1" si="32"/>
        <v/>
      </c>
      <c r="AT58" s="28" t="str">
        <f t="shared" ca="1" si="32"/>
        <v/>
      </c>
      <c r="AU58" s="28" t="str">
        <f t="shared" ca="1" si="32"/>
        <v/>
      </c>
      <c r="AV58" s="28" t="str">
        <f t="shared" ca="1" si="32"/>
        <v/>
      </c>
      <c r="AW58" s="28" t="str">
        <f t="shared" ca="1" si="32"/>
        <v/>
      </c>
      <c r="AX58" s="28" t="str">
        <f t="shared" ca="1" si="32"/>
        <v/>
      </c>
      <c r="AY58" s="28" t="str">
        <f t="shared" ca="1" si="32"/>
        <v/>
      </c>
      <c r="AZ58" s="28" t="str">
        <f t="shared" ca="1" si="32"/>
        <v/>
      </c>
      <c r="BA58" s="28" t="str">
        <f t="shared" ca="1" si="32"/>
        <v/>
      </c>
      <c r="BB58" s="28" t="str">
        <f t="shared" ca="1" si="32"/>
        <v/>
      </c>
      <c r="BC58" s="28" t="str">
        <f t="shared" ca="1" si="32"/>
        <v/>
      </c>
      <c r="BD58" s="28" t="str">
        <f t="shared" ca="1" si="33"/>
        <v/>
      </c>
      <c r="BE58" s="28" t="str">
        <f t="shared" ca="1" si="33"/>
        <v/>
      </c>
      <c r="BF58" s="28" t="str">
        <f t="shared" ca="1" si="33"/>
        <v/>
      </c>
      <c r="BG58" s="28" t="str">
        <f t="shared" ca="1" si="33"/>
        <v/>
      </c>
      <c r="BH58" s="28" t="str">
        <f t="shared" ca="1" si="33"/>
        <v/>
      </c>
      <c r="BI58" s="28" t="str">
        <f t="shared" ca="1" si="33"/>
        <v/>
      </c>
      <c r="BJ58" s="28" t="str">
        <f t="shared" ca="1" si="33"/>
        <v/>
      </c>
      <c r="BK58" s="28" t="str">
        <f t="shared" ca="1" si="33"/>
        <v/>
      </c>
      <c r="BL58" s="28" t="str">
        <f t="shared" si="33"/>
        <v/>
      </c>
    </row>
  </sheetData>
  <mergeCells count="9">
    <mergeCell ref="W2:Z2"/>
    <mergeCell ref="AB2:AE2"/>
    <mergeCell ref="B5:G5"/>
    <mergeCell ref="E3:F3"/>
    <mergeCell ref="H2:K2"/>
    <mergeCell ref="M2:P2"/>
    <mergeCell ref="R2:U2"/>
    <mergeCell ref="B4:D4"/>
    <mergeCell ref="C3:D3"/>
  </mergeCells>
  <conditionalFormatting sqref="D7:D34">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34 H35:H58">
    <cfRule type="expression" dxfId="24" priority="10">
      <formula>AND(TODAY()&gt;=H$5,TODAY()&lt;I$5)</formula>
    </cfRule>
  </conditionalFormatting>
  <conditionalFormatting sqref="H4:AL4">
    <cfRule type="expression" dxfId="23" priority="16">
      <formula>H$5&lt;=EOMONTH($H$5,0)</formula>
    </cfRule>
  </conditionalFormatting>
  <conditionalFormatting sqref="I4:BK4">
    <cfRule type="expression" dxfId="22" priority="12">
      <formula>AND(I$5&lt;=EOMONTH($H$5,2),I$5&gt;EOMONTH($H$5,0),I$5&gt;EOMONTH($H$5,1))</formula>
    </cfRule>
  </conditionalFormatting>
  <conditionalFormatting sqref="H4:BK4">
    <cfRule type="expression" dxfId="21" priority="11">
      <formula>AND(H$5&lt;=EOMONTH($H$5,1),H$5&gt;EOMONTH($H$5,0))</formula>
    </cfRule>
  </conditionalFormatting>
  <conditionalFormatting sqref="H8:BK34 H35 I36:BL40 H47:H58 H41">
    <cfRule type="expression" dxfId="20" priority="80" stopIfTrue="1">
      <formula>AND($C8="Riesgo bajo",H$5&gt;=$E8,H$5&lt;=$E8+$F8-1)</formula>
    </cfRule>
    <cfRule type="expression" dxfId="19" priority="81" stopIfTrue="1">
      <formula>AND($C8="Riesgo alto",H$5&gt;=$E8,H$5&lt;=$E8+$F8-1)</formula>
    </cfRule>
    <cfRule type="expression" dxfId="18" priority="82" stopIfTrue="1">
      <formula>AND($C8="Según lo previsto",H$5&gt;=$E8,H$5&lt;=$E8+$F8-1)</formula>
    </cfRule>
    <cfRule type="expression" dxfId="17" priority="83" stopIfTrue="1">
      <formula>AND($C8="Riesgo medio",H$5&gt;=$E8,H$5&lt;=$E8+$F8-1)</formula>
    </cfRule>
    <cfRule type="expression" dxfId="16" priority="84" stopIfTrue="1">
      <formula>AND(LEN($C8)=0,H$5&gt;=$E8,H$5&lt;=$E8+$F8-1)</formula>
    </cfRule>
  </conditionalFormatting>
  <conditionalFormatting sqref="E41 E35 E47:E58">
    <cfRule type="dataBar" priority="3">
      <dataBar>
        <cfvo type="num" val="0"/>
        <cfvo type="num" val="1"/>
        <color theme="0" tint="-0.249977111117893"/>
      </dataBar>
      <extLst>
        <ext xmlns:x14="http://schemas.microsoft.com/office/spreadsheetml/2009/9/main" uri="{B025F937-C7B1-47D3-B67F-A62EFF666E3E}">
          <x14:id>{BF520385-C29E-499E-95D3-19F6929B71B9}</x14:id>
        </ext>
      </extLst>
    </cfRule>
  </conditionalFormatting>
  <conditionalFormatting sqref="I35:BL58">
    <cfRule type="expression" dxfId="15" priority="2">
      <formula>AND(TODAY()&gt;=I$5,TODAY()&lt;J$5)</formula>
    </cfRule>
  </conditionalFormatting>
  <conditionalFormatting sqref="I35:BL35 I41:BL41 I47:BL58">
    <cfRule type="expression" dxfId="14" priority="5" stopIfTrue="1">
      <formula>AND($C35="Riesgo bajo",I$5&gt;=$F35,I$5&lt;=$F35+$G35-1)</formula>
    </cfRule>
    <cfRule type="expression" dxfId="13" priority="6" stopIfTrue="1">
      <formula>AND($C35="Riesgo alto",I$5&gt;=$F35,I$5&lt;=$F35+$G35-1)</formula>
    </cfRule>
    <cfRule type="expression" dxfId="12" priority="7" stopIfTrue="1">
      <formula>AND($C35="Según lo previsto",I$5&gt;=$F35,I$5&lt;=$F35+$G35-1)</formula>
    </cfRule>
    <cfRule type="expression" dxfId="11" priority="8" stopIfTrue="1">
      <formula>AND($C35="Riesgo medio",I$5&gt;=$F35,I$5&lt;=$F35+$G35-1)</formula>
    </cfRule>
    <cfRule type="expression" dxfId="10" priority="9" stopIfTrue="1">
      <formula>AND(LEN($C35)=0,I$5&gt;=$F35,I$5&lt;=$F35+$G35-1)</formula>
    </cfRule>
  </conditionalFormatting>
  <conditionalFormatting sqref="H36:H40 H42:H46">
    <cfRule type="expression" dxfId="9" priority="185" stopIfTrue="1">
      <formula>AND($C36="Riesgo bajo",H$5&gt;=#REF!,H$5&lt;=#REF!+$E36-1)</formula>
    </cfRule>
    <cfRule type="expression" dxfId="8" priority="186" stopIfTrue="1">
      <formula>AND($C36="Riesgo alto",H$5&gt;=#REF!,H$5&lt;=#REF!+$E36-1)</formula>
    </cfRule>
    <cfRule type="expression" dxfId="7" priority="187" stopIfTrue="1">
      <formula>AND($C36="Según lo previsto",H$5&gt;=#REF!,H$5&lt;=#REF!+$E36-1)</formula>
    </cfRule>
    <cfRule type="expression" dxfId="6" priority="188" stopIfTrue="1">
      <formula>AND($C36="Riesgo medio",H$5&gt;=#REF!,H$5&lt;=#REF!+$E36-1)</formula>
    </cfRule>
    <cfRule type="expression" dxfId="5" priority="189" stopIfTrue="1">
      <formula>AND(LEN($C36)=0,H$5&gt;=#REF!,H$5&lt;=#REF!+$E36-1)</formula>
    </cfRule>
  </conditionalFormatting>
  <conditionalFormatting sqref="D36:D40">
    <cfRule type="dataBar" priority="1">
      <dataBar>
        <cfvo type="num" val="0"/>
        <cfvo type="num" val="1"/>
        <color theme="0" tint="-0.249977111117893"/>
      </dataBar>
      <extLst>
        <ext xmlns:x14="http://schemas.microsoft.com/office/spreadsheetml/2009/9/main" uri="{B025F937-C7B1-47D3-B67F-A62EFF666E3E}">
          <x14:id>{3031AA38-B1EB-4142-8D85-1AE3349811FF}</x14:id>
        </ext>
      </extLst>
    </cfRule>
  </conditionalFormatting>
  <conditionalFormatting sqref="I42:BL46">
    <cfRule type="expression" dxfId="4" priority="210" stopIfTrue="1">
      <formula>AND($C42="Riesgo bajo",I$5&gt;=$E42,I$5&lt;=$E42+$G42-1)</formula>
    </cfRule>
    <cfRule type="expression" dxfId="3" priority="211" stopIfTrue="1">
      <formula>AND($C42="Riesgo alto",I$5&gt;=$E42,I$5&lt;=$E42+$G42-1)</formula>
    </cfRule>
    <cfRule type="expression" dxfId="2" priority="212" stopIfTrue="1">
      <formula>AND($C42="Según lo previsto",I$5&gt;=$E42,I$5&lt;=$E42+$G42-1)</formula>
    </cfRule>
    <cfRule type="expression" dxfId="1" priority="213" stopIfTrue="1">
      <formula>AND($C42="Riesgo medio",I$5&gt;=$E42,I$5&lt;=$E42+$G42-1)</formula>
    </cfRule>
    <cfRule type="expression" dxfId="0" priority="214" stopIfTrue="1">
      <formula>AND(LEN($C42)=0,I$5&gt;=$E42,I$5&lt;=$E42+$G42-1)</formula>
    </cfRule>
  </conditionalFormatting>
  <dataValidations count="2">
    <dataValidation type="whole" operator="greaterThanOrEqual" allowBlank="1" showInputMessage="1" promptTitle="Incremento de desplazamiento" prompt="Al cambiar este número, se desplazará la vista del diagrama de Gantt." sqref="E4">
      <formula1>0</formula1>
    </dataValidation>
    <dataValidation type="list" allowBlank="1" showInputMessage="1" showErrorMessage="1" sqref="C10:C24 C26:C34 C48:C58 C42:C46 C36:C40">
      <formula1>"Objetivo,Hito,Según lo previsto, Riesgo bajo, Riesgo medio, Riesgo alto"</formula1>
    </dataValidation>
  </dataValidations>
  <printOptions horizontalCentered="1"/>
  <pageMargins left="0.25" right="0.25" top="0.5" bottom="0.5" header="0.3" footer="0.3"/>
  <pageSetup paperSize="9" scale="47" fitToHeight="0" orientation="landscape" r:id="rId1"/>
  <headerFooter differentFirst="1" scaleWithDoc="0">
    <oddFooter>Page &amp;P of &amp;N</oddFooter>
  </headerFooter>
  <ignoredErrors>
    <ignoredError sqref="E28"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6149" r:id="rId4" name="Barra de desplazamiento 5">
              <controlPr defaultSize="0" autoPict="0" altText="Barra de desplazamiento para desplazarse por la escala de tiempo del proyecto Ghantt.">
                <anchor moveWithCells="1">
                  <from>
                    <xdr:col>7</xdr:col>
                    <xdr:colOff>30480</xdr:colOff>
                    <xdr:row>5</xdr:row>
                    <xdr:rowOff>60960</xdr:rowOff>
                  </from>
                  <to>
                    <xdr:col>62</xdr:col>
                    <xdr:colOff>365760</xdr:colOff>
                    <xdr:row>5</xdr:row>
                    <xdr:rowOff>236220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 xmlns:xm="http://schemas.microsoft.com/office/excel/2006/main">
          <x14:cfRule type="iconSet" priority="179"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H8:BK34 H35:H58</xm:sqref>
        </x14:conditionalFormatting>
        <x14:conditionalFormatting xmlns:xm="http://schemas.microsoft.com/office/excel/2006/main">
          <x14:cfRule type="dataBar" id="{BF520385-C29E-499E-95D3-19F6929B71B9}">
            <x14:dataBar minLength="0" maxLength="100" gradient="0">
              <x14:cfvo type="num">
                <xm:f>0</xm:f>
              </x14:cfvo>
              <x14:cfvo type="num">
                <xm:f>1</xm:f>
              </x14:cfvo>
              <x14:negativeFillColor rgb="FFFF0000"/>
              <x14:axisColor rgb="FF000000"/>
            </x14:dataBar>
          </x14:cfRule>
          <xm:sqref>E41 E35 E47:E58</xm:sqref>
        </x14:conditionalFormatting>
        <x14:conditionalFormatting xmlns:xm="http://schemas.microsoft.com/office/excel/2006/main">
          <x14:cfRule type="iconSet" priority="4" id="{1D6022D6-4441-4A2A-A197-5F6D1FF8A568}">
            <x14:iconSet iconSet="3Stars" showValue="0" custom="1">
              <x14:cfvo type="percent">
                <xm:f>0</xm:f>
              </x14:cfvo>
              <x14:cfvo type="num">
                <xm:f>1</xm:f>
              </x14:cfvo>
              <x14:cfvo type="num">
                <xm:f>2</xm:f>
              </x14:cfvo>
              <x14:cfIcon iconSet="NoIcons" iconId="0"/>
              <x14:cfIcon iconSet="3Flags" iconId="1"/>
              <x14:cfIcon iconSet="3Signs" iconId="0"/>
            </x14:iconSet>
          </x14:cfRule>
          <xm:sqref>I35:BL58</xm:sqref>
        </x14:conditionalFormatting>
        <x14:conditionalFormatting xmlns:xm="http://schemas.microsoft.com/office/excel/2006/main">
          <x14:cfRule type="dataBar" id="{3031AA38-B1EB-4142-8D85-1AE3349811FF}">
            <x14:dataBar minLength="0" maxLength="100" gradient="0">
              <x14:cfvo type="num">
                <xm:f>0</xm:f>
              </x14:cfvo>
              <x14:cfvo type="num">
                <xm:f>1</xm:f>
              </x14:cfvo>
              <x14:negativeFillColor rgb="FFFF0000"/>
              <x14:axisColor rgb="FF000000"/>
            </x14:dataBar>
          </x14:cfRule>
          <xm:sqref>D36:D40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showGridLines="0" zoomScaleNormal="100" workbookViewId="0"/>
  </sheetViews>
  <sheetFormatPr baseColWidth="10" defaultColWidth="9.109375" defaultRowHeight="13.8" x14ac:dyDescent="0.3"/>
  <cols>
    <col min="1" max="1" width="87.109375" style="6" customWidth="1"/>
    <col min="2" max="16384" width="9.109375" style="4"/>
  </cols>
  <sheetData>
    <row r="1" spans="1:1" s="5" customFormat="1" ht="25.8" x14ac:dyDescent="0.5">
      <c r="A1" s="7" t="s">
        <v>30</v>
      </c>
    </row>
    <row r="2" spans="1:1" ht="115.2" x14ac:dyDescent="0.3">
      <c r="A2" s="8" t="s">
        <v>31</v>
      </c>
    </row>
    <row r="3" spans="1:1" ht="26.25" customHeight="1" x14ac:dyDescent="0.3">
      <c r="A3" s="7" t="s">
        <v>32</v>
      </c>
    </row>
    <row r="4" spans="1:1" s="6" customFormat="1" ht="216.75" customHeight="1" x14ac:dyDescent="0.3">
      <c r="A4" s="9" t="s">
        <v>33</v>
      </c>
    </row>
    <row r="5" spans="1:1" ht="14.4" x14ac:dyDescent="0.3">
      <c r="A5" s="35" t="s">
        <v>34</v>
      </c>
    </row>
  </sheetData>
  <pageMargins left="0.5" right="0.5" top="0.5" bottom="0.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Gantt</vt:lpstr>
      <vt:lpstr>Información</vt:lpstr>
      <vt:lpstr>Incremento_de_desplazamiento</vt:lpstr>
      <vt:lpstr>Inicio_del_proyecto</vt:lpstr>
      <vt:lpstr>Gantt!Títulos_a_imprimir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2018-07-14T00:37:31Z</dcterms:created>
  <dcterms:modified xsi:type="dcterms:W3CDTF">2025-10-28T00:26:33Z</dcterms:modified>
</cp:coreProperties>
</file>